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12308902-7B5A-467D-85E8-8E045D3FC1BC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6" i="2"/>
  <c r="AF3" i="2"/>
  <c r="AE3" i="2"/>
  <c r="AD3" i="2"/>
  <c r="AC3" i="2"/>
  <c r="O6" i="9" l="1"/>
  <c r="O5" i="9"/>
  <c r="O4" i="9"/>
  <c r="O3" i="9"/>
  <c r="O2" i="9"/>
  <c r="O3" i="2" l="1"/>
  <c r="N3" i="2"/>
  <c r="M3" i="2"/>
  <c r="L3" i="2"/>
  <c r="O4" i="2"/>
  <c r="O2" i="2" s="1"/>
  <c r="N4" i="2"/>
  <c r="N2" i="2" s="1"/>
  <c r="M4" i="2"/>
  <c r="M2" i="2" s="1"/>
  <c r="L4" i="2"/>
  <c r="L2" i="2" s="1"/>
  <c r="O5" i="2"/>
  <c r="N5" i="2"/>
  <c r="M5" i="2"/>
  <c r="L5" i="2"/>
  <c r="P2" i="2" l="1"/>
  <c r="P5" i="2"/>
  <c r="P3" i="2"/>
  <c r="P4" i="2"/>
</calcChain>
</file>

<file path=xl/sharedStrings.xml><?xml version="1.0" encoding="utf-8"?>
<sst xmlns="http://schemas.openxmlformats.org/spreadsheetml/2006/main" count="258" uniqueCount="157">
  <si>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</si>
  <si>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</si>
  <si>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</si>
  <si>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</si>
  <si>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</si>
  <si>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</si>
  <si>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</si>
  <si>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</si>
  <si>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</si>
  <si>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</si>
  <si>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</si>
  <si>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</si>
  <si>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</si>
  <si>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</si>
  <si>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</si>
  <si>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</si>
  <si>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</si>
  <si>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</si>
  <si>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</si>
  <si>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</si>
  <si>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</si>
  <si>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</si>
  <si>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</si>
  <si>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</si>
  <si>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</si>
  <si>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</si>
  <si>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</si>
  <si>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</si>
  <si>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</si>
  <si>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</si>
  <si>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</si>
  <si>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</si>
  <si>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</si>
  <si>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</si>
  <si>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</si>
  <si>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</si>
  <si>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</si>
  <si>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</si>
  <si>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</si>
  <si>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</si>
  <si>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</si>
  <si>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</si>
  <si>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</si>
  <si>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</si>
  <si>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</si>
  <si>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</si>
  <si>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</si>
  <si>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</si>
  <si>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</si>
  <si>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</si>
  <si>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</si>
  <si>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</si>
  <si>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</si>
  <si>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</si>
  <si>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</si>
  <si>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</si>
  <si>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</si>
  <si>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</si>
  <si>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</si>
  <si>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</si>
  <si>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</si>
  <si>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</si>
  <si>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</si>
  <si>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</si>
  <si>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</si>
  <si>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</si>
  <si>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</si>
  <si>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</si>
  <si>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</si>
  <si>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</si>
  <si>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</si>
  <si>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</si>
  <si>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</si>
  <si>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</si>
  <si>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</si>
  <si>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</si>
  <si>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</si>
  <si>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</si>
  <si>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</si>
  <si>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</si>
  <si>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</si>
  <si>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</si>
  <si>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</si>
  <si>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</si>
  <si>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</si>
  <si>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</si>
  <si>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</si>
  <si>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</si>
  <si>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</si>
  <si>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</si>
  <si>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</si>
  <si>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</si>
  <si>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</si>
  <si>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</si>
  <si>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</si>
  <si>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</si>
  <si>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</si>
  <si>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</si>
  <si>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</si>
  <si>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</si>
  <si>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</si>
  <si>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</si>
  <si>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</si>
  <si>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</si>
  <si>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</si>
  <si>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</si>
  <si>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</si>
  <si>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</si>
  <si>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</si>
  <si>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</si>
  <si>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</si>
  <si>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</si>
  <si>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</si>
  <si>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</si>
  <si>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</si>
  <si>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</si>
  <si>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</si>
  <si>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</si>
  <si>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</si>
  <si>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</si>
  <si>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</si>
  <si>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</si>
  <si>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</si>
  <si>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</si>
  <si>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</si>
  <si>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</si>
  <si>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</si>
  <si>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</si>
  <si>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</si>
  <si>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</si>
  <si>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</si>
  <si>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</si>
  <si>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</si>
  <si>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</si>
  <si>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</si>
  <si>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</si>
  <si>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</si>
  <si>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</si>
  <si>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</si>
  <si>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</si>
  <si>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</si>
  <si>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</si>
  <si>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</si>
  <si>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</si>
  <si>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</si>
  <si>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</si>
  <si>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</si>
  <si>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</si>
  <si>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</si>
  <si>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</si>
  <si>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</si>
  <si>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</si>
  <si>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Duplicated individuals in Gburg / Duplicated individuals</t>
  </si>
  <si>
    <t>Estimated percentage of expenses which are in-city</t>
  </si>
  <si>
    <t>version 3.14 dev</t>
  </si>
  <si>
    <t>County (City + Non-City) Totals by Month</t>
  </si>
  <si>
    <t>Additional unduplicated individuals in Gburg who received a different delivery type (# of unduplicated individuals receiving delivery who also received nondelivery or vice versa earlier)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</si>
</sst>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5" fillId="0" borderId="6" xfId="4"/>
    <xf numFmtId="0" fontId="0" fillId="0" borderId="0" xfId="0" applyAlignment="1">
      <alignment horizontal="right"/>
    </xf>
    <xf numFmtId="164" fontId="1" fillId="0" borderId="6" xfId="4" applyFont="1"/>
    <xf numFmtId="164" fontId="1" fillId="0" borderId="5" xfId="3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171450</xdr:rowOff>
        </xdr:from>
        <xdr:to>
          <xdr:col>4</xdr:col>
          <xdr:colOff>57150</xdr:colOff>
          <xdr:row>5</xdr:row>
          <xdr:rowOff>120650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152400</xdr:rowOff>
        </xdr:from>
        <xdr:to>
          <xdr:col>5</xdr:col>
          <xdr:colOff>711200</xdr:colOff>
          <xdr:row>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6350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topLeftCell="G1" workbookViewId="0">
      <selection activeCell="W7" sqref="W7"/>
    </sheetView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3" width="10.453125" bestFit="1" customWidth="1"/>
    <col min="24" max="26" width="10.54296875" bestFit="1" customWidth="1"/>
    <col min="27" max="27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154</v>
      </c>
      <c r="B1" t="s">
        <v>101</v>
      </c>
      <c r="D1" s="3"/>
      <c r="E1" t="s">
        <v>102</v>
      </c>
      <c r="G1" s="11" t="s">
        <v>111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115</v>
      </c>
      <c r="R1" s="7" t="s">
        <v>104</v>
      </c>
      <c r="W1" s="7" t="s">
        <v>103</v>
      </c>
      <c r="AB1" s="11" t="s">
        <v>153</v>
      </c>
      <c r="AD1" s="1"/>
      <c r="AG1" s="8"/>
    </row>
    <row r="2" spans="1:97" x14ac:dyDescent="0.35">
      <c r="G2" s="8" t="s">
        <v>112</v>
      </c>
      <c r="L2">
        <f>SUM(L3:L4) - X7</f>
        <v>0</v>
      </c>
      <c r="M2">
        <f>SUM(M3:M4) - Y7</f>
        <v>0</v>
      </c>
      <c r="N2">
        <f>SUM(N3:N4) - Z7</f>
        <v>0</v>
      </c>
      <c r="O2">
        <f>SUM(O3:O4) - AA7</f>
        <v>0</v>
      </c>
      <c r="P2">
        <f>SUM(L2:O2)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  <c r="AC2" s="9" t="s">
        <v>0</v>
      </c>
      <c r="AD2" s="9" t="s">
        <v>1</v>
      </c>
      <c r="AE2" s="9" t="s">
        <v>2</v>
      </c>
      <c r="AF2" s="9" t="s">
        <v>3</v>
      </c>
      <c r="AG2" s="8"/>
    </row>
    <row r="3" spans="1:97" ht="15" thickBot="1" x14ac:dyDescent="0.4">
      <c r="G3" s="8" t="s">
        <v>113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148</v>
      </c>
      <c r="S3">
        <v>0</v>
      </c>
      <c r="T3">
        <v>0</v>
      </c>
      <c r="U3">
        <v>0</v>
      </c>
      <c r="V3">
        <v>0</v>
      </c>
      <c r="W3" s="8" t="s">
        <v>148</v>
      </c>
      <c r="X3">
        <v>0</v>
      </c>
      <c r="Y3">
        <v>0</v>
      </c>
      <c r="Z3">
        <v>0</v>
      </c>
      <c r="AA3">
        <v>0</v>
      </c>
      <c r="AB3" s="8" t="s">
        <v>152</v>
      </c>
      <c r="AC3" s="20" t="e">
        <f>TEXT(SUM(S6,X6)/SUM(D15:D17), "00.00%")</f>
        <v>#DIV/0!</v>
      </c>
      <c r="AD3" s="20" t="e">
        <f>TEXT(SUM(T6,Y6)/SUM(D18:D20), "00.00%")</f>
        <v>#DIV/0!</v>
      </c>
      <c r="AE3" s="20" t="e">
        <f>TEXT(SUM(U6,Z6)/SUM(D9:D11), "00.00%")</f>
        <v>#DIV/0!</v>
      </c>
      <c r="AF3" s="20" t="e">
        <f>TEXT(SUM(V6,AA6)/SUM(D12:D14), "00.00%")</f>
        <v>#DIV/0!</v>
      </c>
      <c r="AG3" s="8"/>
    </row>
    <row r="4" spans="1:97" ht="15" thickTop="1" x14ac:dyDescent="0.35">
      <c r="G4" s="8" t="s">
        <v>114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149</v>
      </c>
      <c r="S4">
        <v>0</v>
      </c>
      <c r="T4">
        <v>0</v>
      </c>
      <c r="U4">
        <v>0</v>
      </c>
      <c r="V4">
        <v>0</v>
      </c>
      <c r="W4" s="8" t="s">
        <v>149</v>
      </c>
      <c r="X4">
        <v>0</v>
      </c>
      <c r="Y4">
        <v>0</v>
      </c>
      <c r="Z4">
        <v>0</v>
      </c>
      <c r="AA4">
        <v>0</v>
      </c>
      <c r="AB4" s="19"/>
      <c r="AC4" s="10"/>
      <c r="AD4" s="10"/>
      <c r="AE4" s="10"/>
      <c r="AF4" s="10"/>
    </row>
    <row r="5" spans="1:97" x14ac:dyDescent="0.35">
      <c r="G5" s="8" t="s">
        <v>119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150</v>
      </c>
      <c r="S5">
        <v>0</v>
      </c>
      <c r="T5">
        <v>0</v>
      </c>
      <c r="U5">
        <v>0</v>
      </c>
      <c r="V5">
        <v>0</v>
      </c>
      <c r="W5" s="8" t="s">
        <v>150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nondelivery total - " &amp; R1</f>
        <v>Services included in nondelivery total - Non-delivery</v>
      </c>
      <c r="R6" s="8" t="s">
        <v>151</v>
      </c>
      <c r="S6">
        <v>0</v>
      </c>
      <c r="T6">
        <v>0</v>
      </c>
      <c r="U6">
        <v>0</v>
      </c>
      <c r="V6">
        <v>0</v>
      </c>
      <c r="W6" s="8" t="s">
        <v>151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delivery total - " &amp; W1</f>
        <v>Services included in delivery total - Delivery</v>
      </c>
      <c r="R7" s="14" t="s">
        <v>142</v>
      </c>
      <c r="S7" s="12">
        <v>0</v>
      </c>
      <c r="T7" s="12">
        <v>0</v>
      </c>
      <c r="U7" s="12">
        <v>0</v>
      </c>
      <c r="V7" s="12">
        <v>0</v>
      </c>
      <c r="W7" s="21" t="s">
        <v>156</v>
      </c>
      <c r="X7" s="12">
        <v>0</v>
      </c>
      <c r="Y7" s="12">
        <v>0</v>
      </c>
      <c r="Z7" s="12">
        <v>0</v>
      </c>
      <c r="AA7" s="12">
        <v>0</v>
      </c>
      <c r="AB7" s="8"/>
    </row>
    <row r="8" spans="1:97" s="12" customFormat="1" ht="15" thickTop="1" x14ac:dyDescent="0.35">
      <c r="A8" s="22" t="s">
        <v>155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41</v>
      </c>
      <c r="I8" s="12">
        <v>20861</v>
      </c>
      <c r="J8" s="12" t="s">
        <v>54</v>
      </c>
      <c r="K8" s="12" t="s">
        <v>55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56</v>
      </c>
      <c r="Q8" s="12">
        <v>20816</v>
      </c>
      <c r="R8" s="12">
        <v>20817</v>
      </c>
      <c r="S8" s="12">
        <v>20824</v>
      </c>
      <c r="T8" s="12" t="s">
        <v>57</v>
      </c>
      <c r="U8" s="12">
        <v>20827</v>
      </c>
      <c r="V8" s="12" t="s">
        <v>58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59</v>
      </c>
      <c r="AB8" s="12" t="s">
        <v>60</v>
      </c>
      <c r="AC8" s="12">
        <v>20871</v>
      </c>
      <c r="AD8" s="12" t="s">
        <v>61</v>
      </c>
      <c r="AE8" s="12" t="s">
        <v>62</v>
      </c>
      <c r="AF8" s="12" t="s">
        <v>63</v>
      </c>
      <c r="AG8" s="12">
        <v>20872</v>
      </c>
      <c r="AH8" s="12" t="s">
        <v>64</v>
      </c>
      <c r="AI8" s="12" t="s">
        <v>65</v>
      </c>
      <c r="AJ8" s="12" t="s">
        <v>66</v>
      </c>
      <c r="AK8" s="12">
        <v>20842</v>
      </c>
      <c r="AL8" s="12" t="s">
        <v>67</v>
      </c>
      <c r="AM8" s="12" t="s">
        <v>68</v>
      </c>
      <c r="AN8" s="12" t="s">
        <v>69</v>
      </c>
      <c r="AO8" s="12" t="s">
        <v>70</v>
      </c>
      <c r="AP8" s="12">
        <v>20883</v>
      </c>
      <c r="AQ8" s="12">
        <v>20884</v>
      </c>
      <c r="AR8" s="12">
        <v>20885</v>
      </c>
      <c r="AS8" s="12" t="s">
        <v>71</v>
      </c>
      <c r="AT8" s="12">
        <v>20898</v>
      </c>
      <c r="AU8" s="12">
        <v>20896</v>
      </c>
      <c r="AV8" s="12" t="s">
        <v>72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73</v>
      </c>
      <c r="BC8" s="12" t="s">
        <v>74</v>
      </c>
      <c r="BD8" s="12" t="s">
        <v>75</v>
      </c>
      <c r="BE8" s="12" t="s">
        <v>76</v>
      </c>
      <c r="BF8" s="12" t="s">
        <v>77</v>
      </c>
      <c r="BG8" s="12">
        <v>20830</v>
      </c>
      <c r="BH8" s="12">
        <v>20832</v>
      </c>
      <c r="BI8" s="12">
        <v>20837</v>
      </c>
      <c r="BJ8" s="12" t="s">
        <v>78</v>
      </c>
      <c r="BK8" s="12" t="s">
        <v>79</v>
      </c>
      <c r="BL8" s="12" t="s">
        <v>80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81</v>
      </c>
      <c r="BS8" s="12">
        <v>20853</v>
      </c>
      <c r="BT8" s="12" t="s">
        <v>82</v>
      </c>
      <c r="BU8" s="12" t="s">
        <v>83</v>
      </c>
      <c r="BV8" s="12" t="s">
        <v>84</v>
      </c>
      <c r="BW8" s="12">
        <v>20860</v>
      </c>
      <c r="BX8" s="12">
        <v>20868</v>
      </c>
      <c r="BY8" s="12" t="s">
        <v>85</v>
      </c>
      <c r="BZ8" s="12" t="s">
        <v>86</v>
      </c>
      <c r="CA8" s="12">
        <v>20901</v>
      </c>
      <c r="CB8" s="12" t="s">
        <v>87</v>
      </c>
      <c r="CC8" s="12">
        <v>20903</v>
      </c>
      <c r="CD8" s="12" t="s">
        <v>88</v>
      </c>
      <c r="CE8" s="12" t="s">
        <v>89</v>
      </c>
      <c r="CF8" s="12" t="s">
        <v>90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91</v>
      </c>
      <c r="CL8" s="12" t="s">
        <v>92</v>
      </c>
      <c r="CM8" s="12" t="s">
        <v>93</v>
      </c>
      <c r="CN8" s="12" t="s">
        <v>94</v>
      </c>
      <c r="CO8" s="12" t="s">
        <v>95</v>
      </c>
      <c r="CP8" s="12">
        <v>20918</v>
      </c>
      <c r="CQ8" s="12">
        <v>20880</v>
      </c>
      <c r="CR8" s="12" t="s">
        <v>96</v>
      </c>
      <c r="CS8" s="12" t="s">
        <v>97</v>
      </c>
    </row>
    <row r="9" spans="1:97" x14ac:dyDescent="0.35">
      <c r="A9" s="5" t="s">
        <v>42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47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48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49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 s="18" t="s">
        <v>147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98</v>
      </c>
      <c r="M22" s="2" t="s">
        <v>99</v>
      </c>
      <c r="N22" s="2" t="s">
        <v>100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NonRx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4</xdr:col>
                    <xdr:colOff>57150</xdr:colOff>
                    <xdr:row>5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152400</xdr:rowOff>
                  </from>
                  <to>
                    <xdr:col>5</xdr:col>
                    <xdr:colOff>711200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109</v>
      </c>
      <c r="B1" s="1"/>
    </row>
    <row r="2" spans="1:16" ht="15.5" x14ac:dyDescent="0.3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106</v>
      </c>
      <c r="K2" s="13" t="s">
        <v>107</v>
      </c>
      <c r="L2" s="13" t="s">
        <v>108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C3" sqref="C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110</v>
      </c>
      <c r="B1" s="1"/>
    </row>
    <row r="2" spans="1:13" ht="15.5" x14ac:dyDescent="0.3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4.5" x14ac:dyDescent="0.35"/>
  <cols>
    <col min="1" max="1" width="10.453125" style="5" bestFit="1" customWidth="1"/>
    <col min="8" max="9" width="11.54296875" customWidth="1"/>
    <col min="10" max="10" width="11.36328125" customWidth="1"/>
  </cols>
  <sheetData>
    <row r="1" spans="1:21" x14ac:dyDescent="0.35">
      <c r="G1" s="11" t="s">
        <v>116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118</v>
      </c>
      <c r="P1" s="8"/>
    </row>
    <row r="2" spans="1:21" x14ac:dyDescent="0.35">
      <c r="G2" s="8" t="s">
        <v>117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120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121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143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144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141</v>
      </c>
      <c r="I7" s="5" t="s">
        <v>146</v>
      </c>
      <c r="P7" s="8"/>
    </row>
    <row r="8" spans="1:21" ht="15" thickBot="1" x14ac:dyDescent="0.4">
      <c r="G8" s="15" t="s">
        <v>145</v>
      </c>
      <c r="I8" s="16" t="s">
        <v>146</v>
      </c>
      <c r="K8" s="17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122</v>
      </c>
      <c r="D10" s="2" t="s">
        <v>123</v>
      </c>
      <c r="E10" s="2" t="s">
        <v>124</v>
      </c>
      <c r="F10" s="2" t="s">
        <v>125</v>
      </c>
      <c r="G10" s="2" t="s">
        <v>126</v>
      </c>
      <c r="H10" s="2" t="s">
        <v>127</v>
      </c>
      <c r="I10" s="2" t="s">
        <v>128</v>
      </c>
      <c r="J10" s="2" t="s">
        <v>129</v>
      </c>
      <c r="K10" s="2" t="s">
        <v>130</v>
      </c>
      <c r="L10" s="2" t="s">
        <v>131</v>
      </c>
      <c r="M10" s="2" t="s">
        <v>132</v>
      </c>
      <c r="N10" s="2" t="s">
        <v>133</v>
      </c>
      <c r="O10" s="2" t="s">
        <v>134</v>
      </c>
      <c r="P10" s="2" t="s">
        <v>135</v>
      </c>
      <c r="Q10" s="2" t="s">
        <v>136</v>
      </c>
      <c r="R10" s="2" t="s">
        <v>137</v>
      </c>
      <c r="S10" s="2" t="s">
        <v>138</v>
      </c>
      <c r="T10" s="2" t="s">
        <v>139</v>
      </c>
      <c r="U10" s="2" t="s">
        <v>140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6350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2025-04-01T01:36:39Z</dcterms:modified>
</cp:coreProperties>
</file>