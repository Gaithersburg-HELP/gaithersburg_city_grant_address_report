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98C2FD76-1E62-4020-8BBF-419FA252539E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9" l="1"/>
  <c r="O5" i="9"/>
  <c r="O4" i="9"/>
  <c r="O3" i="9"/>
  <c r="O2" i="9"/>
  <c r="G7" i="2" l="1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<sst xmlns="http://schemas.openxmlformats.org/spreadsheetml/2006/main" count="251" uniqueCount="154">
  <si>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</si>
  <si>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</si>
  <si>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</si>
  <si>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</si>
  <si>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</si>
  <si>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</si>
  <si>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</si>
  <si>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</si>
  <si>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</si>
  <si>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</si>
  <si>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</si>
  <si>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</si>
  <si>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</si>
  <si>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</si>
  <si>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</si>
  <si>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</si>
  <si>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</si>
  <si>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</si>
  <si>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</si>
  <si>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</si>
  <si>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</si>
  <si>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</si>
  <si>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</si>
  <si>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</si>
  <si>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</si>
  <si>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</si>
  <si>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</si>
  <si>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</si>
  <si>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</si>
  <si>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</si>
  <si>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</si>
  <si>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</si>
  <si>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</si>
  <si>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</si>
  <si>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</si>
  <si>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</si>
  <si>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</si>
  <si>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</si>
  <si>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</si>
  <si>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</si>
  <si>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</si>
  <si>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</si>
  <si>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</si>
  <si>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</si>
  <si>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</si>
  <si>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</si>
  <si>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</si>
  <si>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</si>
  <si>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</si>
  <si>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</si>
  <si>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</si>
  <si>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</si>
  <si>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</si>
  <si>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</si>
  <si>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</si>
  <si>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</si>
  <si>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</si>
  <si>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</si>
  <si>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</si>
  <si>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</si>
  <si>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</si>
  <si>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</si>
  <si>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</si>
  <si>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</si>
  <si>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</si>
  <si>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</si>
  <si>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</si>
  <si>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</si>
  <si>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</si>
  <si>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</si>
  <si>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</si>
  <si>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</si>
  <si>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</si>
  <si>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</si>
  <si>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</si>
  <si>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</si>
  <si>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</si>
  <si>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</si>
  <si>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</si>
  <si>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</si>
  <si>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</si>
  <si>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</si>
  <si>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</si>
  <si>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</si>
  <si>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</si>
  <si>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</si>
  <si>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</si>
  <si>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</si>
  <si>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</si>
  <si>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</si>
  <si>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</si>
  <si>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</si>
  <si>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</si>
  <si>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</si>
  <si>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</si>
  <si>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</si>
  <si>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</si>
  <si>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</si>
  <si>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</si>
  <si>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</si>
  <si>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</si>
  <si>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</si>
  <si>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</si>
  <si>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</si>
  <si>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</si>
  <si>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</si>
  <si>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</si>
  <si>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</si>
  <si>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version 3.10 dev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</si>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</sst>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1" fillId="0" borderId="5" xfId="3" applyNumberFormat="1" applyFont="1"/>
    <xf numFmtId="164" fontId="8" fillId="0" borderId="0" xfId="0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412750</xdr:colOff>
          <xdr:row>4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0</xdr:row>
          <xdr:rowOff>76200</xdr:rowOff>
        </xdr:from>
        <xdr:to>
          <xdr:col>18</xdr:col>
          <xdr:colOff>6350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topLeftCell="A3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108</v>
      </c>
      <c r="B1" t="s">
        <v>106</v>
      </c>
      <c r="D1" s="3"/>
      <c r="E1" t="s">
        <v>107</v>
      </c>
      <c r="G1" s="11" t="s">
        <v>117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121</v>
      </c>
      <c r="R1" s="7" t="s">
        <v>110</v>
      </c>
      <c r="W1" s="7" t="s">
        <v>109</v>
      </c>
      <c r="AB1" s="8"/>
      <c r="AD1" s="1"/>
    </row>
    <row r="2" spans="1:97" x14ac:dyDescent="0.35">
      <c r="G2" s="8" t="s">
        <v>118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119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104</v>
      </c>
      <c r="S3">
        <v>0</v>
      </c>
      <c r="T3">
        <v>0</v>
      </c>
      <c r="U3">
        <v>0</v>
      </c>
      <c r="V3">
        <v>0</v>
      </c>
      <c r="W3" s="8" t="s">
        <v>104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120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105</v>
      </c>
      <c r="S4">
        <v>0</v>
      </c>
      <c r="T4">
        <v>0</v>
      </c>
      <c r="U4">
        <v>0</v>
      </c>
      <c r="V4">
        <v>0</v>
      </c>
      <c r="W4" s="8" t="s">
        <v>105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125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38</v>
      </c>
      <c r="S5">
        <v>0</v>
      </c>
      <c r="T5">
        <v>0</v>
      </c>
      <c r="U5">
        <v>0</v>
      </c>
      <c r="V5">
        <v>0</v>
      </c>
      <c r="W5" s="8" t="s">
        <v>38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5" t="str">
        <f>"Services included in total - " &amp; R1</f>
        <v>Services included in total - Non-delivery</v>
      </c>
      <c r="R6" s="8" t="s">
        <v>39</v>
      </c>
      <c r="S6">
        <v>0</v>
      </c>
      <c r="T6">
        <v>0</v>
      </c>
      <c r="U6">
        <v>0</v>
      </c>
      <c r="V6">
        <v>0</v>
      </c>
      <c r="W6" s="8" t="s">
        <v>39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5" t="str">
        <f>"Services included in total - " &amp; W1</f>
        <v>Services included in total - Delivery</v>
      </c>
      <c r="R7" s="14" t="s">
        <v>148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8" t="s">
        <v>43</v>
      </c>
      <c r="B8" s="12" t="s">
        <v>35</v>
      </c>
      <c r="C8" s="12" t="s">
        <v>36</v>
      </c>
      <c r="D8" s="12" t="s">
        <v>40</v>
      </c>
      <c r="E8" s="12" t="s">
        <v>37</v>
      </c>
      <c r="F8" s="12" t="s">
        <v>41</v>
      </c>
      <c r="G8" s="12" t="s">
        <v>42</v>
      </c>
      <c r="H8" s="12" t="s">
        <v>44</v>
      </c>
      <c r="I8" s="12">
        <v>20861</v>
      </c>
      <c r="J8" s="12" t="s">
        <v>57</v>
      </c>
      <c r="K8" s="12" t="s">
        <v>58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59</v>
      </c>
      <c r="Q8" s="12">
        <v>20816</v>
      </c>
      <c r="R8" s="12">
        <v>20817</v>
      </c>
      <c r="S8" s="12">
        <v>20824</v>
      </c>
      <c r="T8" s="12" t="s">
        <v>60</v>
      </c>
      <c r="U8" s="12">
        <v>20827</v>
      </c>
      <c r="V8" s="12" t="s">
        <v>61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62</v>
      </c>
      <c r="AB8" s="12" t="s">
        <v>63</v>
      </c>
      <c r="AC8" s="12">
        <v>20871</v>
      </c>
      <c r="AD8" s="12" t="s">
        <v>64</v>
      </c>
      <c r="AE8" s="12" t="s">
        <v>65</v>
      </c>
      <c r="AF8" s="12" t="s">
        <v>66</v>
      </c>
      <c r="AG8" s="12">
        <v>20872</v>
      </c>
      <c r="AH8" s="12" t="s">
        <v>67</v>
      </c>
      <c r="AI8" s="12" t="s">
        <v>68</v>
      </c>
      <c r="AJ8" s="12" t="s">
        <v>69</v>
      </c>
      <c r="AK8" s="12">
        <v>20842</v>
      </c>
      <c r="AL8" s="12" t="s">
        <v>70</v>
      </c>
      <c r="AM8" s="12" t="s">
        <v>71</v>
      </c>
      <c r="AN8" s="12" t="s">
        <v>72</v>
      </c>
      <c r="AO8" s="12" t="s">
        <v>73</v>
      </c>
      <c r="AP8" s="12">
        <v>20883</v>
      </c>
      <c r="AQ8" s="12">
        <v>20884</v>
      </c>
      <c r="AR8" s="12">
        <v>20885</v>
      </c>
      <c r="AS8" s="12" t="s">
        <v>74</v>
      </c>
      <c r="AT8" s="12">
        <v>20898</v>
      </c>
      <c r="AU8" s="12">
        <v>20896</v>
      </c>
      <c r="AV8" s="12" t="s">
        <v>75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76</v>
      </c>
      <c r="BC8" s="12" t="s">
        <v>77</v>
      </c>
      <c r="BD8" s="12" t="s">
        <v>78</v>
      </c>
      <c r="BE8" s="12" t="s">
        <v>79</v>
      </c>
      <c r="BF8" s="12" t="s">
        <v>80</v>
      </c>
      <c r="BG8" s="12">
        <v>20830</v>
      </c>
      <c r="BH8" s="12">
        <v>20832</v>
      </c>
      <c r="BI8" s="12">
        <v>20837</v>
      </c>
      <c r="BJ8" s="12" t="s">
        <v>81</v>
      </c>
      <c r="BK8" s="12" t="s">
        <v>82</v>
      </c>
      <c r="BL8" s="12" t="s">
        <v>83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84</v>
      </c>
      <c r="BS8" s="12">
        <v>20853</v>
      </c>
      <c r="BT8" s="12" t="s">
        <v>85</v>
      </c>
      <c r="BU8" s="12" t="s">
        <v>86</v>
      </c>
      <c r="BV8" s="12" t="s">
        <v>87</v>
      </c>
      <c r="BW8" s="12">
        <v>20860</v>
      </c>
      <c r="BX8" s="12">
        <v>20868</v>
      </c>
      <c r="BY8" s="12" t="s">
        <v>88</v>
      </c>
      <c r="BZ8" s="12" t="s">
        <v>89</v>
      </c>
      <c r="CA8" s="12">
        <v>20901</v>
      </c>
      <c r="CB8" s="12" t="s">
        <v>90</v>
      </c>
      <c r="CC8" s="12">
        <v>20903</v>
      </c>
      <c r="CD8" s="12" t="s">
        <v>91</v>
      </c>
      <c r="CE8" s="12" t="s">
        <v>92</v>
      </c>
      <c r="CF8" s="12" t="s">
        <v>93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94</v>
      </c>
      <c r="CL8" s="12" t="s">
        <v>95</v>
      </c>
      <c r="CM8" s="12" t="s">
        <v>96</v>
      </c>
      <c r="CN8" s="12" t="s">
        <v>97</v>
      </c>
      <c r="CO8" s="12" t="s">
        <v>98</v>
      </c>
      <c r="CP8" s="12">
        <v>20918</v>
      </c>
      <c r="CQ8" s="12">
        <v>20880</v>
      </c>
      <c r="CR8" s="12" t="s">
        <v>99</v>
      </c>
      <c r="CS8" s="12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 s="19" t="s">
        <v>153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115</v>
      </c>
      <c r="B1" s="1"/>
    </row>
    <row r="2" spans="1:16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112</v>
      </c>
      <c r="K2" s="13" t="s">
        <v>113</v>
      </c>
      <c r="L2" s="13" t="s">
        <v>114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116</v>
      </c>
      <c r="B1" s="1"/>
    </row>
    <row r="2" spans="1:13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4.5" x14ac:dyDescent="0.35"/>
  <cols>
    <col min="1" max="1" width="10.453125" style="5" bestFit="1" customWidth="1"/>
    <col min="8" max="9" width="11.54296875" customWidth="1"/>
    <col min="10" max="10" width="11.36328125" customWidth="1"/>
  </cols>
  <sheetData>
    <row r="1" spans="1:21" x14ac:dyDescent="0.35">
      <c r="G1" s="11" t="s">
        <v>122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124</v>
      </c>
      <c r="P1" s="8"/>
    </row>
    <row r="2" spans="1:21" x14ac:dyDescent="0.35">
      <c r="G2" s="8" t="s">
        <v>123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126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127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8" t="s">
        <v>149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35">
      <c r="G6" s="8" t="s">
        <v>150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35">
      <c r="G7" s="15" t="s">
        <v>147</v>
      </c>
      <c r="I7" s="5" t="s">
        <v>152</v>
      </c>
      <c r="P7" s="8"/>
    </row>
    <row r="8" spans="1:21" ht="15" thickBot="1" x14ac:dyDescent="0.4">
      <c r="G8" s="15" t="s">
        <v>151</v>
      </c>
      <c r="I8" s="16" t="s">
        <v>152</v>
      </c>
      <c r="K8" s="17"/>
      <c r="P8" s="8"/>
    </row>
    <row r="9" spans="1:21" ht="15" thickTop="1" x14ac:dyDescent="0.35">
      <c r="G9" s="10"/>
      <c r="H9" s="10"/>
      <c r="I9" s="10"/>
      <c r="J9" s="10"/>
      <c r="K9" s="10"/>
      <c r="L9" s="10"/>
      <c r="M9" s="10"/>
      <c r="N9" s="10"/>
      <c r="O9" s="10"/>
    </row>
    <row r="10" spans="1:21" ht="91.5" x14ac:dyDescent="0.35">
      <c r="A10" s="6" t="s">
        <v>4</v>
      </c>
      <c r="B10" s="2" t="s">
        <v>6</v>
      </c>
      <c r="C10" s="2" t="s">
        <v>128</v>
      </c>
      <c r="D10" s="2" t="s">
        <v>129</v>
      </c>
      <c r="E10" s="2" t="s">
        <v>130</v>
      </c>
      <c r="F10" s="2" t="s">
        <v>131</v>
      </c>
      <c r="G10" s="2" t="s">
        <v>132</v>
      </c>
      <c r="H10" s="2" t="s">
        <v>133</v>
      </c>
      <c r="I10" s="2" t="s">
        <v>134</v>
      </c>
      <c r="J10" s="2" t="s">
        <v>135</v>
      </c>
      <c r="K10" s="2" t="s">
        <v>136</v>
      </c>
      <c r="L10" s="2" t="s">
        <v>137</v>
      </c>
      <c r="M10" s="2" t="s">
        <v>138</v>
      </c>
      <c r="N10" s="2" t="s">
        <v>139</v>
      </c>
      <c r="O10" s="2" t="s">
        <v>140</v>
      </c>
      <c r="P10" s="2" t="s">
        <v>141</v>
      </c>
      <c r="Q10" s="2" t="s">
        <v>142</v>
      </c>
      <c r="R10" s="2" t="s">
        <v>143</v>
      </c>
      <c r="S10" s="2" t="s">
        <v>144</v>
      </c>
      <c r="T10" s="2" t="s">
        <v>145</v>
      </c>
      <c r="U10" s="2" t="s">
        <v>146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412750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19050</xdr:colOff>
                    <xdr:row>0</xdr:row>
                    <xdr:rowOff>76200</xdr:rowOff>
                  </from>
                  <to>
                    <xdr:col>18</xdr:col>
                    <xdr:colOff>6350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2024-11-19T02:16:19Z</dcterms:modified>
</cp:coreProperties>
</file>