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084B0313-8D4B-4BA3-9C10-3D2BFD43AA59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Home" sheetId="2" r:id="rId1"/>
    <sheet name="NonRx Report" sheetId="6" r:id="rId2"/>
    <sheet name="Needs Autocorrect" sheetId="7" r:id="rId3"/>
    <sheet name="Rx Report" sheetId="8" r:id="rId4"/>
    <sheet name="Rx" sheetId="9" r:id="rId5"/>
    <sheet name="Addresses" sheetId="1" r:id="rId6"/>
    <sheet name="Discards" sheetId="3" r:id="rId7"/>
    <sheet name="Autocorrected" sheetId="4" r:id="rId8"/>
  </sheets>
  <functionGroups builtInGroupCount="19"/>
  <definedNames>
    <definedName name="_xlnm._FilterDatabase" localSheetId="5" hidden="1">Addresses!$A$1:$R$1</definedName>
    <definedName name="_xlnm._FilterDatabase" localSheetId="7" hidden="1">Autocorrected!$A$1:$R$1</definedName>
    <definedName name="_xlnm._FilterDatabase" localSheetId="6" hidden="1">Discards!$A$1:$R$1</definedName>
    <definedName name="_xlnm._FilterDatabase" localSheetId="0" hidden="1">Home!$A$1:$CS$663</definedName>
    <definedName name="_xlnm._FilterDatabase" localSheetId="2" hidden="1">'Needs Autocorrect'!$A$1:$R$1</definedName>
    <definedName name="_xlnm._FilterDatabase" localSheetId="1" hidden="1">'NonRx Report'!$A$2:$P$2</definedName>
    <definedName name="_xlnm._FilterDatabase" localSheetId="3" hidden="1">'Rx Report'!$A$2:$M$2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6" i="9" l="1"/>
  <c r="O5" i="9"/>
  <c r="O4" i="9"/>
  <c r="O3" i="9"/>
  <c r="O2" i="9"/>
  <c r="G7" i="2" l="1"/>
  <c r="G6" i="2"/>
  <c r="O3" i="2"/>
  <c r="N3" i="2"/>
  <c r="M3" i="2"/>
  <c r="L3" i="2"/>
  <c r="O4" i="2"/>
  <c r="N4" i="2"/>
  <c r="M4" i="2"/>
  <c r="L4" i="2"/>
  <c r="O5" i="2"/>
  <c r="N5" i="2"/>
  <c r="M5" i="2"/>
  <c r="L5" i="2"/>
  <c r="N2" i="2" l="1"/>
  <c r="L2" i="2"/>
  <c r="P5" i="2"/>
  <c r="M2" i="2"/>
  <c r="O2" i="2"/>
  <c r="P3" i="2"/>
  <c r="P4" i="2"/>
  <c r="P2" i="2" l="1"/>
</calcChain>
</file>

<file path=xl/sharedStrings.xml><?xml version="1.0" encoding="utf-8"?>
<sst xmlns="http://schemas.openxmlformats.org/spreadsheetml/2006/main" count="251" uniqueCount="154">
  <si>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</si>
  <si>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</si>
  <si>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</si>
  <si>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</si>
  <si>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</si>
  <si>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</si>
  <si>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</si>
  <si>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</si>
  <si>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</si>
  <si>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</si>
  <si>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</si>
  <si>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</si>
  <si>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</si>
  <si>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</si>
  <si>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</si>
  <si>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Physical City</t>
  </si>
  <si>
    <t>In City</t>
  </si>
  <si>
    <t>Apt</t>
  </si>
  <si>
    <t>City</t>
  </si>
  <si>
    <t>State</t>
  </si>
  <si>
    <t>Household Total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</si>
  <si>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</si>
  <si>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</si>
  <si>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</si>
  <si>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</si>
  <si>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</si>
  <si>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</si>
  <si>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</si>
  <si>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</si>
  <si>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</si>
  <si>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</si>
  <si>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</si>
  <si>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</si>
  <si>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</si>
  <si>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</si>
  <si>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</si>
  <si>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</si>
  <si>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</si>
  <si>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</si>
  <si>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</si>
  <si>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</si>
  <si>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</si>
  <si>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</si>
  <si>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</si>
  <si>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</si>
  <si>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</si>
  <si>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</si>
  <si>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</si>
  <si>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</si>
  <si>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</si>
  <si>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</si>
  <si>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</si>
  <si>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</si>
  <si>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</si>
  <si>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</si>
  <si>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</si>
  <si>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</si>
  <si>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</si>
  <si>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</si>
  <si>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</si>
  <si>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</si>
  <si>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</si>
  <si>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</si>
  <si>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</si>
  <si>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</si>
  <si>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</si>
  <si>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</si>
  <si>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</si>
  <si>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</si>
  <si>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</si>
  <si>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</si>
  <si>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</si>
  <si>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</si>
  <si>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</si>
  <si>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</si>
  <si>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</si>
  <si>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</si>
  <si>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</si>
  <si>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</si>
  <si>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</si>
  <si>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</si>
  <si>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</si>
  <si>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</si>
  <si>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</si>
  <si>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</si>
  <si>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</si>
  <si>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</si>
  <si>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</si>
  <si>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</si>
  <si>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</si>
  <si>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</si>
  <si>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</si>
  <si>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</si>
  <si>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</si>
  <si>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</si>
  <si>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</si>
  <si>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</si>
  <si>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</si>
  <si>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</si>
  <si>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</si>
  <si>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</si>
  <si>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</si>
  <si>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</si>
  <si>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</si>
  <si>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Unduplicated households (# of unique Guest IDs, excluded if they came in previous quarters)</t>
  </si>
  <si>
    <t>Unduplicated individuals (# in all households of unique Guest IDs, excluded if they came in previous quarters)</t>
  </si>
  <si>
    <t>most recent date:</t>
  </si>
  <si>
    <t>apikey:</t>
  </si>
  <si>
    <t>Delivery</t>
  </si>
  <si>
    <t>Non-delivery</t>
  </si>
  <si>
    <t>Organization</t>
  </si>
  <si>
    <t># of members</t>
  </si>
  <si>
    <t># of adults</t>
  </si>
  <si>
    <t># of children</t>
  </si>
  <si>
    <t>Final report for all services except for Rx Asst</t>
  </si>
  <si>
    <t>Final report for Rx Asst services only</t>
  </si>
  <si>
    <t>Totals for Food Report</t>
  </si>
  <si>
    <t># of Gburg residents served thru delivery + distributions (# of unduplicated household members)</t>
  </si>
  <si>
    <t># of Gburg residents served thru delivery (# of unduplicated household members)</t>
  </si>
  <si>
    <t># of Gburg residents served thru distribution (# of unduplicated household members)</t>
  </si>
  <si>
    <t>Yearly Total</t>
  </si>
  <si>
    <t>Totals for Rx Report</t>
  </si>
  <si>
    <t># of Gburg residents given Rx Asst (# of unduplicated Rx guest names)</t>
  </si>
  <si>
    <t>Yearly</t>
  </si>
  <si>
    <t>Pounds of food given - Program Total (residents + nonresidents)</t>
  </si>
  <si>
    <t># of unduplicated Rx - Program Total (Gburg residents + non residents - # of unduplicated Rx medication names and doses)</t>
  </si>
  <si>
    <t># of unduplicated Rx - Gburg Residents Only (# of unduplicated Rx medication names and doses)</t>
  </si>
  <si>
    <t>#1 Rx GUEST NAME  (first &amp;amp; last)</t>
  </si>
  <si>
    <t>--  #1 Med., dose, #dispensed</t>
  </si>
  <si>
    <t>--   #1  Cost (number only 0.00)</t>
  </si>
  <si>
    <t>#2 Rx GUEST NAME (first &amp;amp; last)</t>
  </si>
  <si>
    <t>--  #2 Med., dose, #dispensed</t>
  </si>
  <si>
    <t>--  #2 Cost (number only 0.00)</t>
  </si>
  <si>
    <t>#3 Rx GUEST NAME (first &amp;amp; last)</t>
  </si>
  <si>
    <t>--  #3 Med., dose, #dispensed</t>
  </si>
  <si>
    <t>--  #3 Cost (number only 0.00)</t>
  </si>
  <si>
    <t>#4 Rx GUEST NAME (first &amp;amp; last)</t>
  </si>
  <si>
    <t>--  #4 Med., dose, #dispensed</t>
  </si>
  <si>
    <t>--  #4 Cost  (number only 0.00)</t>
  </si>
  <si>
    <t>#5 Rx GUEST NAME (first &amp;amp; last)</t>
  </si>
  <si>
    <t>--   #5 Med.,  dose, #dispensed</t>
  </si>
  <si>
    <t>--   #5  Cost (number only 0.00)</t>
  </si>
  <si>
    <t>#6 Rx GUEST NAME (first &amp;amp; last)</t>
  </si>
  <si>
    <t xml:space="preserve">-- #6 Med., dose, #dispensed </t>
  </si>
  <si>
    <t>--  #6  Cost (number only 0.00)</t>
  </si>
  <si>
    <t>--- TOTAL Rx COSTS (number only 0.00)</t>
  </si>
  <si>
    <t>Most recent date:</t>
  </si>
  <si>
    <t>RX expenses in-city, incl. multiple visits &amp; delivery/non-delivery services</t>
  </si>
  <si>
    <t>Expenditure for Rx - Program Total (Gburg residents + non-residents - sum of Total RX)</t>
  </si>
  <si>
    <t>Expenditure for Rx - Gburg Residents Only (sum of Total RX)</t>
  </si>
  <si>
    <t>Discarded Guest IDs: (address may be in needs autocorrect, address record may not have been added, rx record may have no rx data)</t>
  </si>
  <si>
    <t>None</t>
  </si>
  <si>
    <t>Services included in totals:</t>
  </si>
  <si>
    <t>version 3.10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</si>
</sst>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double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</borders>
  <cellStyleXfs count="7">
    <xf numFmtId="0" fontId="0" fillId="0" borderId="0"/>
    <xf numFmtId="0" fontId="4" fillId="0" borderId="3" applyNumberFormat="0" applyFill="0" applyAlignment="0" applyProtection="0"/>
    <xf numFmtId="0" fontId="6" fillId="0" borderId="4" applyFont="0"/>
    <xf numFmtId="164" fontId="1" fillId="0" borderId="5" applyFont="0"/>
    <xf numFmtId="164" fontId="5" fillId="0" borderId="6"/>
    <xf numFmtId="0" fontId="4" fillId="0" borderId="3" applyNumberFormat="0" applyFill="0" applyAlignment="0" applyProtection="0"/>
    <xf numFmtId="0" fontId="9" fillId="0" borderId="0" applyNumberFormat="0" applyFill="0" applyBorder="0" applyAlignment="0" applyProtection="0"/>
  </cellStyleXfs>
  <cellXfs count="2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2" fillId="2" borderId="1" xfId="0" applyNumberFormat="1" applyFont="1" applyFill="1" applyBorder="1" applyAlignment="1" applyProtection="1">
      <alignment wrapText="1"/>
      <protection locked="0"/>
    </xf>
    <xf numFmtId="0" fontId="6" fillId="0" borderId="4" xfId="2" applyFont="1"/>
    <xf numFmtId="0" fontId="0" fillId="0" borderId="4" xfId="2" applyFont="1"/>
    <xf numFmtId="0" fontId="1" fillId="0" borderId="0" xfId="0" applyFont="1" applyAlignment="1">
      <alignment horizontal="right"/>
    </xf>
    <xf numFmtId="164" fontId="0" fillId="0" borderId="5" xfId="3" applyFont="1"/>
    <xf numFmtId="0" fontId="1" fillId="0" borderId="4" xfId="2" applyFont="1"/>
    <xf numFmtId="0" fontId="0" fillId="0" borderId="5" xfId="3" applyNumberFormat="1" applyFont="1"/>
    <xf numFmtId="0" fontId="7" fillId="3" borderId="0" xfId="5" applyFont="1" applyFill="1" applyBorder="1" applyAlignment="1">
      <alignment horizontal="center" vertical="center"/>
    </xf>
    <xf numFmtId="164" fontId="6" fillId="0" borderId="6" xfId="4" applyFont="1"/>
    <xf numFmtId="0" fontId="8" fillId="0" borderId="4" xfId="2" applyFont="1"/>
    <xf numFmtId="0" fontId="9" fillId="0" borderId="0" xfId="6"/>
    <xf numFmtId="49" fontId="9" fillId="0" borderId="0" xfId="0" applyNumberFormat="1" applyFont="1"/>
    <xf numFmtId="164" fontId="1" fillId="0" borderId="5" xfId="3" applyFont="1"/>
    <xf numFmtId="164" fontId="8" fillId="0" borderId="0" xfId="0" applyNumberFormat="1" applyFont="1"/>
  </cellXfs>
  <cellStyles count="7">
    <cellStyle name="Heading 2" xfId="5" builtinId="17"/>
    <cellStyle name="Heading 2 2" xfId="1" xr:uid="{7D6FD562-ED5D-4353-9D19-4A4E99930F7F}"/>
    <cellStyle name="Left border" xfId="2" xr:uid="{741DE080-D344-4AE6-8F55-106C00565CEE}"/>
    <cellStyle name="Normal" xfId="0" builtinId="0"/>
    <cellStyle name="Top &amp; Left Border" xfId="4" xr:uid="{7FB3E784-6FC4-41DC-9FB9-97902604D3C9}"/>
    <cellStyle name="Top border" xfId="3" xr:uid="{B5EB851F-60EE-4BDA-80BD-1F29E9703266}"/>
    <cellStyle name="Warning Text" xfId="6" builtinId="11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501650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Non-Rx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177800</xdr:rowOff>
        </xdr:from>
        <xdr:to>
          <xdr:col>4</xdr:col>
          <xdr:colOff>57150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177800</xdr:colOff>
          <xdr:row>3</xdr:row>
          <xdr:rowOff>158750</xdr:rowOff>
        </xdr:from>
        <xdr:to>
          <xdr:col>5</xdr:col>
          <xdr:colOff>711200</xdr:colOff>
          <xdr:row>5</xdr:row>
          <xdr:rowOff>184150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December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0</xdr:row>
          <xdr:rowOff>25400</xdr:rowOff>
        </xdr:from>
        <xdr:to>
          <xdr:col>2</xdr:col>
          <xdr:colOff>412750</xdr:colOff>
          <xdr:row>4</xdr:row>
          <xdr:rowOff>6350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Additional Rx Records and 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19050</xdr:colOff>
          <xdr:row>0</xdr:row>
          <xdr:rowOff>76200</xdr:rowOff>
        </xdr:from>
        <xdr:to>
          <xdr:col>18</xdr:col>
          <xdr:colOff>6350</xdr:colOff>
          <xdr:row>2</xdr:row>
          <xdr:rowOff>76200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Rx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184150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165100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workbookViewId="0"/>
  </sheetViews>
  <sheetFormatPr defaultRowHeight="14.5" x14ac:dyDescent="0.35"/>
  <cols>
    <col min="1" max="1" width="21.81640625" style="5" customWidth="1"/>
    <col min="4" max="4" width="10.453125" bestFit="1" customWidth="1"/>
    <col min="6" max="6" width="11.54296875" customWidth="1"/>
    <col min="9" max="9" width="10.54296875" bestFit="1" customWidth="1"/>
    <col min="10" max="11" width="10.453125" bestFit="1" customWidth="1"/>
    <col min="12" max="12" width="10.54296875" bestFit="1" customWidth="1"/>
    <col min="13" max="13" width="10.453125" bestFit="1" customWidth="1"/>
    <col min="14" max="14" width="6.453125" customWidth="1"/>
    <col min="15" max="15" width="6.1796875" customWidth="1"/>
    <col min="16" max="16" width="5.54296875" customWidth="1"/>
    <col min="17" max="17" width="5.90625" customWidth="1"/>
    <col min="18" max="18" width="5.81640625" customWidth="1"/>
    <col min="19" max="19" width="10.453125" bestFit="1" customWidth="1"/>
    <col min="21" max="21" width="10.453125" bestFit="1" customWidth="1"/>
    <col min="23" max="26" width="10.453125" bestFit="1" customWidth="1"/>
    <col min="29" max="29" width="10.453125" bestFit="1" customWidth="1"/>
    <col min="33" max="33" width="10.453125" bestFit="1" customWidth="1"/>
    <col min="37" max="37" width="10.453125" bestFit="1" customWidth="1"/>
    <col min="42" max="44" width="10.453125" bestFit="1" customWidth="1"/>
    <col min="46" max="47" width="10.453125" bestFit="1" customWidth="1"/>
    <col min="49" max="53" width="10.453125" bestFit="1" customWidth="1"/>
    <col min="59" max="61" width="10.453125" bestFit="1" customWidth="1"/>
    <col min="65" max="69" width="10.453125" bestFit="1" customWidth="1"/>
    <col min="71" max="71" width="10.453125" bestFit="1" customWidth="1"/>
    <col min="75" max="76" width="10.453125" bestFit="1" customWidth="1"/>
    <col min="79" max="79" width="10.453125" bestFit="1" customWidth="1"/>
    <col min="81" max="81" width="10.453125" bestFit="1" customWidth="1"/>
    <col min="85" max="88" width="10.453125" bestFit="1" customWidth="1"/>
    <col min="94" max="95" width="10.453125" bestFit="1" customWidth="1"/>
  </cols>
  <sheetData>
    <row r="1" spans="1:97" x14ac:dyDescent="0.35">
      <c r="A1" s="5" t="s">
        <v>153</v>
      </c>
      <c r="B1" t="s">
        <v>106</v>
      </c>
      <c r="D1" s="3"/>
      <c r="E1" t="s">
        <v>107</v>
      </c>
      <c r="G1" s="11" t="s">
        <v>116</v>
      </c>
      <c r="L1" s="1" t="s">
        <v>0</v>
      </c>
      <c r="M1" s="1" t="s">
        <v>1</v>
      </c>
      <c r="N1" s="1" t="s">
        <v>2</v>
      </c>
      <c r="O1" s="1" t="s">
        <v>3</v>
      </c>
      <c r="P1" s="1" t="s">
        <v>120</v>
      </c>
      <c r="R1" s="7" t="s">
        <v>109</v>
      </c>
      <c r="W1" s="7" t="s">
        <v>108</v>
      </c>
      <c r="AB1" s="8"/>
      <c r="AD1" s="1"/>
    </row>
    <row r="2" spans="1:97" x14ac:dyDescent="0.35">
      <c r="G2" s="8" t="s">
        <v>117</v>
      </c>
      <c r="L2">
        <f>SUM(L3:L4)</f>
        <v>0</v>
      </c>
      <c r="M2">
        <f>SUM(M3:M4)</f>
        <v>0</v>
      </c>
      <c r="N2">
        <f>SUM(N3:N4)</f>
        <v>0</v>
      </c>
      <c r="O2">
        <f>SUM(O3:O4)</f>
        <v>0</v>
      </c>
      <c r="P2">
        <f>SUM(P3:P4)</f>
        <v>0</v>
      </c>
      <c r="R2" s="8"/>
      <c r="S2" s="1" t="s">
        <v>0</v>
      </c>
      <c r="T2" s="9" t="s">
        <v>1</v>
      </c>
      <c r="U2" s="9" t="s">
        <v>2</v>
      </c>
      <c r="V2" s="9" t="s">
        <v>3</v>
      </c>
      <c r="W2" s="11"/>
      <c r="X2" s="1" t="s">
        <v>0</v>
      </c>
      <c r="Y2" s="9" t="s">
        <v>1</v>
      </c>
      <c r="Z2" s="9" t="s">
        <v>2</v>
      </c>
      <c r="AA2" s="9" t="s">
        <v>3</v>
      </c>
      <c r="AB2" s="11"/>
    </row>
    <row r="3" spans="1:97" x14ac:dyDescent="0.35">
      <c r="G3" s="8" t="s">
        <v>118</v>
      </c>
      <c r="L3">
        <f>X4</f>
        <v>0</v>
      </c>
      <c r="M3">
        <f>Y4</f>
        <v>0</v>
      </c>
      <c r="N3">
        <f>Z4</f>
        <v>0</v>
      </c>
      <c r="O3">
        <f>AA4</f>
        <v>0</v>
      </c>
      <c r="P3">
        <f>SUM(L3:O3)</f>
        <v>0</v>
      </c>
      <c r="R3" s="8" t="s">
        <v>104</v>
      </c>
      <c r="S3">
        <v>0</v>
      </c>
      <c r="T3">
        <v>0</v>
      </c>
      <c r="U3">
        <v>0</v>
      </c>
      <c r="V3">
        <v>0</v>
      </c>
      <c r="W3" s="8" t="s">
        <v>104</v>
      </c>
      <c r="X3">
        <v>0</v>
      </c>
      <c r="Y3">
        <v>0</v>
      </c>
      <c r="Z3">
        <v>0</v>
      </c>
      <c r="AA3">
        <v>0</v>
      </c>
      <c r="AB3" s="8"/>
    </row>
    <row r="4" spans="1:97" x14ac:dyDescent="0.35">
      <c r="G4" s="8" t="s">
        <v>119</v>
      </c>
      <c r="L4">
        <f>S4</f>
        <v>0</v>
      </c>
      <c r="M4">
        <f>T4</f>
        <v>0</v>
      </c>
      <c r="N4">
        <f>U4</f>
        <v>0</v>
      </c>
      <c r="O4">
        <f>V4</f>
        <v>0</v>
      </c>
      <c r="P4">
        <f>SUM(L4:O4)</f>
        <v>0</v>
      </c>
      <c r="R4" s="8" t="s">
        <v>105</v>
      </c>
      <c r="S4">
        <v>0</v>
      </c>
      <c r="T4">
        <v>0</v>
      </c>
      <c r="U4">
        <v>0</v>
      </c>
      <c r="V4">
        <v>0</v>
      </c>
      <c r="W4" s="8" t="s">
        <v>105</v>
      </c>
      <c r="X4">
        <v>0</v>
      </c>
      <c r="Y4">
        <v>0</v>
      </c>
      <c r="Z4">
        <v>0</v>
      </c>
      <c r="AA4">
        <v>0</v>
      </c>
      <c r="AB4" s="8"/>
    </row>
    <row r="5" spans="1:97" x14ac:dyDescent="0.35">
      <c r="G5" s="8" t="s">
        <v>124</v>
      </c>
      <c r="L5">
        <f>SUM(H15:H17)</f>
        <v>0</v>
      </c>
      <c r="M5">
        <f>SUM(H18:H20)</f>
        <v>0</v>
      </c>
      <c r="N5">
        <f>SUM(H9:H11)</f>
        <v>0</v>
      </c>
      <c r="O5">
        <f>SUM(H12:H14)</f>
        <v>0</v>
      </c>
      <c r="P5">
        <f>SUM(L5:O5)</f>
        <v>0</v>
      </c>
      <c r="R5" s="8" t="s">
        <v>38</v>
      </c>
      <c r="S5">
        <v>0</v>
      </c>
      <c r="T5">
        <v>0</v>
      </c>
      <c r="U5">
        <v>0</v>
      </c>
      <c r="V5">
        <v>0</v>
      </c>
      <c r="W5" s="8" t="s">
        <v>38</v>
      </c>
      <c r="X5">
        <v>0</v>
      </c>
      <c r="Y5">
        <v>0</v>
      </c>
      <c r="Z5">
        <v>0</v>
      </c>
      <c r="AA5">
        <v>0</v>
      </c>
      <c r="AB5" s="8"/>
    </row>
    <row r="6" spans="1:97" ht="15" thickBot="1" x14ac:dyDescent="0.4">
      <c r="G6" s="15" t="str">
        <f>"Services included in total - " &amp; R1</f>
        <v>Services included in total - Non-delivery</v>
      </c>
      <c r="R6" s="8" t="s">
        <v>39</v>
      </c>
      <c r="S6">
        <v>0</v>
      </c>
      <c r="T6">
        <v>0</v>
      </c>
      <c r="U6">
        <v>0</v>
      </c>
      <c r="V6">
        <v>0</v>
      </c>
      <c r="W6" s="8" t="s">
        <v>39</v>
      </c>
      <c r="X6">
        <v>0</v>
      </c>
      <c r="Y6">
        <v>0</v>
      </c>
      <c r="Z6">
        <v>0</v>
      </c>
      <c r="AA6">
        <v>0</v>
      </c>
      <c r="AB6" s="8"/>
    </row>
    <row r="7" spans="1:97" ht="14.5" customHeight="1" thickTop="1" thickBot="1" x14ac:dyDescent="0.4">
      <c r="B7" s="4"/>
      <c r="G7" s="15" t="str">
        <f>"Services included in total - " &amp; W1</f>
        <v>Services included in total - Delivery</v>
      </c>
      <c r="R7" s="14" t="s">
        <v>147</v>
      </c>
      <c r="S7" s="12">
        <v>0</v>
      </c>
      <c r="T7" s="12">
        <v>0</v>
      </c>
      <c r="U7" s="12">
        <v>0</v>
      </c>
      <c r="V7" s="12">
        <v>0</v>
      </c>
      <c r="W7" s="8"/>
      <c r="AB7" s="8"/>
    </row>
    <row r="8" spans="1:97" s="12" customFormat="1" ht="15" thickTop="1" x14ac:dyDescent="0.35">
      <c r="A8" s="18" t="s">
        <v>43</v>
      </c>
      <c r="B8" s="12" t="s">
        <v>35</v>
      </c>
      <c r="C8" s="12" t="s">
        <v>36</v>
      </c>
      <c r="D8" s="12" t="s">
        <v>40</v>
      </c>
      <c r="E8" s="12" t="s">
        <v>37</v>
      </c>
      <c r="F8" s="12" t="s">
        <v>41</v>
      </c>
      <c r="G8" s="12" t="s">
        <v>42</v>
      </c>
      <c r="H8" s="12" t="s">
        <v>44</v>
      </c>
      <c r="I8" s="12">
        <v>20861</v>
      </c>
      <c r="J8" s="12" t="s">
        <v>57</v>
      </c>
      <c r="K8" s="12" t="s">
        <v>58</v>
      </c>
      <c r="L8" s="12">
        <v>20839</v>
      </c>
      <c r="M8" s="12">
        <v>20838</v>
      </c>
      <c r="N8" s="12">
        <v>20813</v>
      </c>
      <c r="O8" s="12">
        <v>20814</v>
      </c>
      <c r="P8" s="12" t="s">
        <v>59</v>
      </c>
      <c r="Q8" s="12">
        <v>20816</v>
      </c>
      <c r="R8" s="12">
        <v>20817</v>
      </c>
      <c r="S8" s="12">
        <v>20824</v>
      </c>
      <c r="T8" s="12" t="s">
        <v>60</v>
      </c>
      <c r="U8" s="12">
        <v>20827</v>
      </c>
      <c r="V8" s="12" t="s">
        <v>61</v>
      </c>
      <c r="W8" s="12">
        <v>20841</v>
      </c>
      <c r="X8" s="12">
        <v>20862</v>
      </c>
      <c r="Y8" s="12">
        <v>20866</v>
      </c>
      <c r="Z8" s="12">
        <v>20818</v>
      </c>
      <c r="AA8" s="12" t="s">
        <v>62</v>
      </c>
      <c r="AB8" s="12" t="s">
        <v>63</v>
      </c>
      <c r="AC8" s="12">
        <v>20871</v>
      </c>
      <c r="AD8" s="12" t="s">
        <v>64</v>
      </c>
      <c r="AE8" s="12" t="s">
        <v>65</v>
      </c>
      <c r="AF8" s="12" t="s">
        <v>66</v>
      </c>
      <c r="AG8" s="12">
        <v>20872</v>
      </c>
      <c r="AH8" s="12" t="s">
        <v>67</v>
      </c>
      <c r="AI8" s="12" t="s">
        <v>68</v>
      </c>
      <c r="AJ8" s="12" t="s">
        <v>69</v>
      </c>
      <c r="AK8" s="12">
        <v>20842</v>
      </c>
      <c r="AL8" s="12" t="s">
        <v>70</v>
      </c>
      <c r="AM8" s="12" t="s">
        <v>71</v>
      </c>
      <c r="AN8" s="12" t="s">
        <v>72</v>
      </c>
      <c r="AO8" s="12" t="s">
        <v>73</v>
      </c>
      <c r="AP8" s="12">
        <v>20883</v>
      </c>
      <c r="AQ8" s="12">
        <v>20884</v>
      </c>
      <c r="AR8" s="12">
        <v>20885</v>
      </c>
      <c r="AS8" s="12" t="s">
        <v>74</v>
      </c>
      <c r="AT8" s="12">
        <v>20898</v>
      </c>
      <c r="AU8" s="12">
        <v>20896</v>
      </c>
      <c r="AV8" s="12" t="s">
        <v>75</v>
      </c>
      <c r="AW8" s="12">
        <v>20875</v>
      </c>
      <c r="AX8" s="12">
        <v>20876</v>
      </c>
      <c r="AY8" s="12">
        <v>20812</v>
      </c>
      <c r="AZ8" s="12">
        <v>20891</v>
      </c>
      <c r="BA8" s="12">
        <v>20895</v>
      </c>
      <c r="BB8" s="12" t="s">
        <v>76</v>
      </c>
      <c r="BC8" s="12" t="s">
        <v>77</v>
      </c>
      <c r="BD8" s="12" t="s">
        <v>78</v>
      </c>
      <c r="BE8" s="12" t="s">
        <v>79</v>
      </c>
      <c r="BF8" s="12" t="s">
        <v>80</v>
      </c>
      <c r="BG8" s="12">
        <v>20830</v>
      </c>
      <c r="BH8" s="12">
        <v>20832</v>
      </c>
      <c r="BI8" s="12">
        <v>20837</v>
      </c>
      <c r="BJ8" s="12" t="s">
        <v>81</v>
      </c>
      <c r="BK8" s="12" t="s">
        <v>82</v>
      </c>
      <c r="BL8" s="12" t="s">
        <v>83</v>
      </c>
      <c r="BM8" s="12">
        <v>20847</v>
      </c>
      <c r="BN8" s="12">
        <v>20848</v>
      </c>
      <c r="BO8" s="12">
        <v>20849</v>
      </c>
      <c r="BP8" s="12">
        <v>20850</v>
      </c>
      <c r="BQ8" s="12">
        <v>20851</v>
      </c>
      <c r="BR8" s="12" t="s">
        <v>84</v>
      </c>
      <c r="BS8" s="12">
        <v>20853</v>
      </c>
      <c r="BT8" s="12" t="s">
        <v>85</v>
      </c>
      <c r="BU8" s="12" t="s">
        <v>86</v>
      </c>
      <c r="BV8" s="12" t="s">
        <v>87</v>
      </c>
      <c r="BW8" s="12">
        <v>20860</v>
      </c>
      <c r="BX8" s="12">
        <v>20868</v>
      </c>
      <c r="BY8" s="12" t="s">
        <v>88</v>
      </c>
      <c r="BZ8" s="12" t="s">
        <v>89</v>
      </c>
      <c r="CA8" s="12">
        <v>20901</v>
      </c>
      <c r="CB8" s="12" t="s">
        <v>90</v>
      </c>
      <c r="CC8" s="12">
        <v>20903</v>
      </c>
      <c r="CD8" s="12" t="s">
        <v>91</v>
      </c>
      <c r="CE8" s="12" t="s">
        <v>92</v>
      </c>
      <c r="CF8" s="12" t="s">
        <v>93</v>
      </c>
      <c r="CG8" s="12">
        <v>20907</v>
      </c>
      <c r="CH8" s="12">
        <v>20908</v>
      </c>
      <c r="CI8" s="12">
        <v>20910</v>
      </c>
      <c r="CJ8" s="12">
        <v>20911</v>
      </c>
      <c r="CK8" s="12" t="s">
        <v>94</v>
      </c>
      <c r="CL8" s="12" t="s">
        <v>95</v>
      </c>
      <c r="CM8" s="12" t="s">
        <v>96</v>
      </c>
      <c r="CN8" s="12" t="s">
        <v>97</v>
      </c>
      <c r="CO8" s="12" t="s">
        <v>98</v>
      </c>
      <c r="CP8" s="12">
        <v>20918</v>
      </c>
      <c r="CQ8" s="12">
        <v>20880</v>
      </c>
      <c r="CR8" s="12" t="s">
        <v>99</v>
      </c>
      <c r="CS8" s="12" t="s">
        <v>100</v>
      </c>
    </row>
    <row r="9" spans="1:97" x14ac:dyDescent="0.35">
      <c r="A9" s="5" t="s">
        <v>45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5" t="s">
        <v>46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5" t="s">
        <v>47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5" t="s">
        <v>48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5" t="s">
        <v>49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5" t="s">
        <v>50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5" t="s">
        <v>51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5" t="s">
        <v>52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5" t="s">
        <v>53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5" t="s">
        <v>54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5" t="s">
        <v>55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5" t="s">
        <v>56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1" spans="1:97" x14ac:dyDescent="0.35">
      <c r="A21" s="19" t="s">
        <v>152</v>
      </c>
    </row>
    <row r="22" spans="1:97" ht="26.5" x14ac:dyDescent="0.35">
      <c r="A22" s="6" t="s">
        <v>4</v>
      </c>
      <c r="B22" s="2" t="s">
        <v>5</v>
      </c>
      <c r="C22" s="2" t="s">
        <v>6</v>
      </c>
      <c r="D22" s="2" t="s">
        <v>7</v>
      </c>
      <c r="E22" s="2" t="s">
        <v>8</v>
      </c>
      <c r="F22" s="2" t="s">
        <v>9</v>
      </c>
      <c r="G22" s="2" t="s">
        <v>10</v>
      </c>
      <c r="H22" s="2" t="s">
        <v>15</v>
      </c>
      <c r="I22" s="2" t="s">
        <v>11</v>
      </c>
      <c r="J22" s="2" t="s">
        <v>12</v>
      </c>
      <c r="K22" s="2" t="s">
        <v>13</v>
      </c>
      <c r="L22" s="2" t="s">
        <v>101</v>
      </c>
      <c r="M22" s="2" t="s">
        <v>102</v>
      </c>
      <c r="N22" s="2" t="s">
        <v>103</v>
      </c>
      <c r="O22" s="2" t="s">
        <v>14</v>
      </c>
    </row>
  </sheetData>
  <sheetProtection sheet="1" objects="1" scenarios="1" formatColumns="0" formatRows="0" sort="0" autoFilter="0"/>
  <protectedRanges>
    <protectedRange sqref="A23:XFD1048576" name="PasteInterfaceRecords"/>
    <protectedRange sqref="F1" name="apikey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501650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Interfac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0</xdr:colOff>
                    <xdr:row>3</xdr:row>
                    <xdr:rowOff>177800</xdr:rowOff>
                  </from>
                  <to>
                    <xdr:col>4</xdr:col>
                    <xdr:colOff>57150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4</xdr:col>
                    <xdr:colOff>177800</xdr:colOff>
                    <xdr:row>3</xdr:row>
                    <xdr:rowOff>158750</xdr:rowOff>
                  </from>
                  <to>
                    <xdr:col>5</xdr:col>
                    <xdr:colOff>711200</xdr:colOff>
                    <xdr:row>5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NonRxReportSheet"/>
  <dimension ref="A1:P2"/>
  <sheetViews>
    <sheetView workbookViewId="0">
      <selection activeCell="A2" sqref="A2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  <col min="10" max="10" width="15.1796875" customWidth="1"/>
    <col min="11" max="11" width="11.453125" customWidth="1"/>
    <col min="12" max="12" width="11.7265625" customWidth="1"/>
    <col min="13" max="13" width="6.54296875" customWidth="1"/>
    <col min="14" max="14" width="6.26953125" customWidth="1"/>
    <col min="15" max="15" width="6.7265625" customWidth="1"/>
    <col min="16" max="16" width="7.26953125" customWidth="1"/>
  </cols>
  <sheetData>
    <row r="1" spans="1:16" x14ac:dyDescent="0.35">
      <c r="A1" s="1" t="s">
        <v>114</v>
      </c>
      <c r="B1" s="1"/>
    </row>
    <row r="2" spans="1:16" ht="15.5" x14ac:dyDescent="0.35">
      <c r="A2" s="13" t="s">
        <v>110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111</v>
      </c>
      <c r="K2" s="13" t="s">
        <v>112</v>
      </c>
      <c r="L2" s="13" t="s">
        <v>113</v>
      </c>
      <c r="M2" s="13" t="s">
        <v>0</v>
      </c>
      <c r="N2" s="13" t="s">
        <v>1</v>
      </c>
      <c r="O2" s="13" t="s">
        <v>2</v>
      </c>
      <c r="P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P2" xr:uid="{102E5C0F-B345-4EB1-B540-C5334DBE4EED}"/>
  <sortState xmlns:xlrd2="http://schemas.microsoft.com/office/spreadsheetml/2017/richdata2" ref="A3:P3">
    <sortCondition ref="C3:C5"/>
    <sortCondition ref="B3:B5"/>
    <sortCondition ref="D3:D5"/>
    <sortCondition ref="F3:F5"/>
  </sortState>
  <conditionalFormatting sqref="D2">
    <cfRule type="endsWith" dxfId="1" priority="1" operator="endsWith" text="?">
      <formula>RIGHT(D2,1)="?"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3" sqref="A3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U6">
    <sortCondition ref="U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EB94C-818E-47E8-B1BD-83C1D1726942}">
  <sheetPr codeName="RxReportSheet"/>
  <dimension ref="A1:M2"/>
  <sheetViews>
    <sheetView workbookViewId="0">
      <selection activeCell="A2" sqref="A2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</cols>
  <sheetData>
    <row r="1" spans="1:13" x14ac:dyDescent="0.35">
      <c r="A1" s="1" t="s">
        <v>115</v>
      </c>
      <c r="B1" s="1"/>
    </row>
    <row r="2" spans="1:13" ht="15.5" x14ac:dyDescent="0.35">
      <c r="A2" s="13" t="s">
        <v>110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0</v>
      </c>
      <c r="K2" s="13" t="s">
        <v>1</v>
      </c>
      <c r="L2" s="13" t="s">
        <v>2</v>
      </c>
      <c r="M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M2" xr:uid="{A4CEB94C-818E-47E8-B1BD-83C1D1726942}"/>
  <sortState xmlns:xlrd2="http://schemas.microsoft.com/office/spreadsheetml/2017/richdata2" ref="A3:M7">
    <sortCondition ref="C3:C9"/>
    <sortCondition ref="B3:B9"/>
    <sortCondition ref="D3:D9"/>
    <sortCondition ref="F3:F9"/>
  </sortState>
  <conditionalFormatting sqref="D2">
    <cfRule type="endsWith" dxfId="0" priority="1" operator="endsWith" text="?">
      <formula>RIGHT(D2,1)="?"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FAA57-D756-4AB9-B21D-968BDF1AACC3}">
  <sheetPr codeName="RxSheet"/>
  <dimension ref="A1:U10"/>
  <sheetViews>
    <sheetView workbookViewId="0"/>
  </sheetViews>
  <sheetFormatPr defaultRowHeight="14.5" x14ac:dyDescent="0.35"/>
  <cols>
    <col min="1" max="1" width="10.453125" style="5" bestFit="1" customWidth="1"/>
    <col min="8" max="9" width="11.54296875" customWidth="1"/>
    <col min="10" max="10" width="11.36328125" customWidth="1"/>
  </cols>
  <sheetData>
    <row r="1" spans="1:21" x14ac:dyDescent="0.35">
      <c r="G1" s="11" t="s">
        <v>121</v>
      </c>
      <c r="K1" s="1" t="s">
        <v>0</v>
      </c>
      <c r="L1" s="1" t="s">
        <v>1</v>
      </c>
      <c r="M1" s="1" t="s">
        <v>2</v>
      </c>
      <c r="N1" s="1" t="s">
        <v>3</v>
      </c>
      <c r="O1" s="1" t="s">
        <v>123</v>
      </c>
      <c r="P1" s="8"/>
    </row>
    <row r="2" spans="1:21" x14ac:dyDescent="0.35">
      <c r="G2" s="8" t="s">
        <v>122</v>
      </c>
      <c r="K2">
        <v>0</v>
      </c>
      <c r="L2">
        <v>0</v>
      </c>
      <c r="M2">
        <v>0</v>
      </c>
      <c r="N2">
        <v>0</v>
      </c>
      <c r="O2">
        <f>SUM(K2:N2)</f>
        <v>0</v>
      </c>
      <c r="P2" s="8"/>
    </row>
    <row r="3" spans="1:21" x14ac:dyDescent="0.35">
      <c r="G3" s="8" t="s">
        <v>125</v>
      </c>
      <c r="K3">
        <v>0</v>
      </c>
      <c r="L3">
        <v>0</v>
      </c>
      <c r="M3">
        <v>0</v>
      </c>
      <c r="N3">
        <v>0</v>
      </c>
      <c r="O3">
        <f>SUM(K3:N3)</f>
        <v>0</v>
      </c>
      <c r="P3" s="8"/>
    </row>
    <row r="4" spans="1:21" x14ac:dyDescent="0.35">
      <c r="G4" s="8" t="s">
        <v>126</v>
      </c>
      <c r="K4">
        <v>0</v>
      </c>
      <c r="L4">
        <v>0</v>
      </c>
      <c r="M4">
        <v>0</v>
      </c>
      <c r="N4">
        <v>0</v>
      </c>
      <c r="O4">
        <f>SUM(K4:N4)</f>
        <v>0</v>
      </c>
      <c r="P4" s="8"/>
    </row>
    <row r="5" spans="1:21" x14ac:dyDescent="0.35">
      <c r="G5" s="8" t="s">
        <v>148</v>
      </c>
      <c r="K5">
        <v>0</v>
      </c>
      <c r="L5">
        <v>0</v>
      </c>
      <c r="M5">
        <v>0</v>
      </c>
      <c r="N5">
        <v>0</v>
      </c>
      <c r="O5">
        <f t="shared" ref="O5:O6" si="0">SUM(K5:N5)</f>
        <v>0</v>
      </c>
      <c r="P5" s="8"/>
    </row>
    <row r="6" spans="1:21" x14ac:dyDescent="0.35">
      <c r="G6" s="8" t="s">
        <v>149</v>
      </c>
      <c r="K6">
        <v>0</v>
      </c>
      <c r="L6">
        <v>0</v>
      </c>
      <c r="M6">
        <v>0</v>
      </c>
      <c r="N6">
        <v>0</v>
      </c>
      <c r="O6">
        <f t="shared" si="0"/>
        <v>0</v>
      </c>
      <c r="P6" s="8"/>
    </row>
    <row r="7" spans="1:21" x14ac:dyDescent="0.35">
      <c r="G7" s="15" t="s">
        <v>146</v>
      </c>
      <c r="I7" s="5" t="s">
        <v>151</v>
      </c>
      <c r="P7" s="8"/>
    </row>
    <row r="8" spans="1:21" ht="15" thickBot="1" x14ac:dyDescent="0.4">
      <c r="G8" s="15" t="s">
        <v>150</v>
      </c>
      <c r="I8" s="16" t="s">
        <v>151</v>
      </c>
      <c r="K8" s="17"/>
      <c r="P8" s="8"/>
    </row>
    <row r="9" spans="1:21" ht="15" thickTop="1" x14ac:dyDescent="0.35">
      <c r="G9" s="10"/>
      <c r="H9" s="10"/>
      <c r="I9" s="10"/>
      <c r="J9" s="10"/>
      <c r="K9" s="10"/>
      <c r="L9" s="10"/>
      <c r="M9" s="10"/>
      <c r="N9" s="10"/>
      <c r="O9" s="10"/>
    </row>
    <row r="10" spans="1:21" ht="91.5" x14ac:dyDescent="0.35">
      <c r="A10" s="6" t="s">
        <v>4</v>
      </c>
      <c r="B10" s="2" t="s">
        <v>6</v>
      </c>
      <c r="C10" s="2" t="s">
        <v>127</v>
      </c>
      <c r="D10" s="2" t="s">
        <v>128</v>
      </c>
      <c r="E10" s="2" t="s">
        <v>129</v>
      </c>
      <c r="F10" s="2" t="s">
        <v>130</v>
      </c>
      <c r="G10" s="2" t="s">
        <v>131</v>
      </c>
      <c r="H10" s="2" t="s">
        <v>132</v>
      </c>
      <c r="I10" s="2" t="s">
        <v>133</v>
      </c>
      <c r="J10" s="2" t="s">
        <v>134</v>
      </c>
      <c r="K10" s="2" t="s">
        <v>135</v>
      </c>
      <c r="L10" s="2" t="s">
        <v>136</v>
      </c>
      <c r="M10" s="2" t="s">
        <v>137</v>
      </c>
      <c r="N10" s="2" t="s">
        <v>138</v>
      </c>
      <c r="O10" s="2" t="s">
        <v>139</v>
      </c>
      <c r="P10" s="2" t="s">
        <v>140</v>
      </c>
      <c r="Q10" s="2" t="s">
        <v>141</v>
      </c>
      <c r="R10" s="2" t="s">
        <v>142</v>
      </c>
      <c r="S10" s="2" t="s">
        <v>143</v>
      </c>
      <c r="T10" s="2" t="s">
        <v>144</v>
      </c>
      <c r="U10" s="2" t="s">
        <v>145</v>
      </c>
    </row>
  </sheetData>
  <sheetProtection sheet="1" objects="1" scenarios="1" formatColumns="0" formatRows="0" sort="0" autoFilter="0"/>
  <protectedRanges>
    <protectedRange sqref="A11:XFD1048576" name="PasteRxRecords"/>
  </protectedRanges>
  <sortState xmlns:xlrd2="http://schemas.microsoft.com/office/spreadsheetml/2017/richdata2" ref="A11:U21">
    <sortCondition ref="A1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onfirmPasteRxRecordsCalculate">
                <anchor>
                  <from>
                    <xdr:col>0</xdr:col>
                    <xdr:colOff>12700</xdr:colOff>
                    <xdr:row>0</xdr:row>
                    <xdr:rowOff>25400</xdr:rowOff>
                  </from>
                  <to>
                    <xdr:col>2</xdr:col>
                    <xdr:colOff>412750</xdr:colOff>
                    <xdr:row>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nfirmDeleteRxRecords">
                <anchor>
                  <from>
                    <xdr:col>15</xdr:col>
                    <xdr:colOff>19050</xdr:colOff>
                    <xdr:row>0</xdr:row>
                    <xdr:rowOff>76200</xdr:rowOff>
                  </from>
                  <to>
                    <xdr:col>18</xdr:col>
                    <xdr:colOff>6350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X14">
    <sortCondition ref="X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184150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5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Home</vt:lpstr>
      <vt:lpstr>NonRx Report</vt:lpstr>
      <vt:lpstr>Needs Autocorrect</vt:lpstr>
      <vt:lpstr>Rx Report</vt:lpstr>
      <vt:lpstr>Rx</vt:lpstr>
      <vt:lpstr>Addresses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2024-11-20T00:04:15Z</dcterms:modified>
</cp:coreProperties>
</file>