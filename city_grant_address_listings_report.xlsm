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ACE58FF6-A157-4D4B-B8B1-24FCC6C22ACF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9" l="1"/>
  <c r="O5" i="9"/>
  <c r="O4" i="9"/>
  <c r="O3" i="9"/>
  <c r="O2" i="9"/>
  <c r="G7" i="2" l="1"/>
  <c r="G6" i="2"/>
  <c r="O3" i="2"/>
  <c r="N3" i="2"/>
  <c r="M3" i="2"/>
  <c r="L3" i="2"/>
  <c r="O4" i="2"/>
  <c r="N4" i="2"/>
  <c r="M4" i="2"/>
  <c r="L4" i="2"/>
  <c r="O5" i="2"/>
  <c r="N5" i="2"/>
  <c r="M5" i="2"/>
  <c r="L5" i="2"/>
  <c r="N2" i="2" l="1"/>
  <c r="L2" i="2"/>
  <c r="P5" i="2"/>
  <c r="M2" i="2"/>
  <c r="O2" i="2"/>
  <c r="P3" i="2"/>
  <c r="P4" i="2"/>
  <c r="P2" i="2" l="1"/>
</calcChain>
</file>

<file path=xl/sharedStrings.xml><?xml version="1.0" encoding="utf-8"?>
<sst xmlns="http://schemas.openxmlformats.org/spreadsheetml/2006/main" count="251" uniqueCount="154">
  <si>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</si>
  <si>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</si>
  <si>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</si>
  <si>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</si>
  <si>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</si>
  <si>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</si>
  <si>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</si>
  <si>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</si>
  <si>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</si>
  <si>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</si>
  <si>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</si>
  <si>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</si>
  <si>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</si>
  <si>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</si>
  <si>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</si>
  <si>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</si>
  <si>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</si>
  <si>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</si>
  <si>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</si>
  <si>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</si>
  <si>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</si>
  <si>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</si>
  <si>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</si>
  <si>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</si>
  <si>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</si>
  <si>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</si>
  <si>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</si>
  <si>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</si>
  <si>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</si>
  <si>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</si>
  <si>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</si>
  <si>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</si>
  <si>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</si>
  <si>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</si>
  <si>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</si>
  <si>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</si>
  <si>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</si>
  <si>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</si>
  <si>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</si>
  <si>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</si>
  <si>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</si>
  <si>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</si>
  <si>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</si>
  <si>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</si>
  <si>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</si>
  <si>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</si>
  <si>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</si>
  <si>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</si>
  <si>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</si>
  <si>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</si>
  <si>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</si>
  <si>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</si>
  <si>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</si>
  <si>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</si>
  <si>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</si>
  <si>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</si>
  <si>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</si>
  <si>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</si>
  <si>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</si>
  <si>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</si>
  <si>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</si>
  <si>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</si>
  <si>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</si>
  <si>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</si>
  <si>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</si>
  <si>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</si>
  <si>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</si>
  <si>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</si>
  <si>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</si>
  <si>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</si>
  <si>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</si>
  <si>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</si>
  <si>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</si>
  <si>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</si>
  <si>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</si>
  <si>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</si>
  <si>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</si>
  <si>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</si>
  <si>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</si>
  <si>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</si>
  <si>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</si>
  <si>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</si>
  <si>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</si>
  <si>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</si>
  <si>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</si>
  <si>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</si>
  <si>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</si>
  <si>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</si>
  <si>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</si>
  <si>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</si>
  <si>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</si>
  <si>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</si>
  <si>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</si>
  <si>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</si>
  <si>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</si>
  <si>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</si>
  <si>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</si>
  <si>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</si>
  <si>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</si>
  <si>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</si>
  <si>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</si>
  <si>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</si>
  <si>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most recent date:</t>
  </si>
  <si>
    <t>apikey:</t>
  </si>
  <si>
    <t>Delivery</t>
  </si>
  <si>
    <t>Non-delivery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</si>
  <si>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</si>
  <si>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</si>
  <si>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</si>
  <si>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</si>
  <si>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</si>
  <si>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</si>
  <si>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</si>
  <si>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</si>
  <si>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</si>
  <si>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</si>
  <si>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</si>
  <si>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</si>
  <si>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</si>
  <si>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</si>
  <si>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</si>
  <si>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</si>
  <si>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</si>
  <si>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</si>
  <si>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</si>
  <si>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</si>
  <si>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</si>
  <si>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</si>
  <si>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</si>
  <si>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</si>
  <si>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</si>
  <si>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</si>
  <si>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</si>
  <si>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</si>
  <si>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</si>
  <si>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</si>
  <si>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</si>
  <si>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</si>
  <si>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</si>
  <si>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</si>
  <si>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</si>
  <si>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</si>
  <si>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</si>
  <si>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RX expenses in-city, incl. multiple visits &amp; delivery/non-delivery services</t>
  </si>
  <si>
    <t>Expenditure for Rx - Program Total (Gburg residents + non-residents - sum of Total RX)</t>
  </si>
  <si>
    <t>Expenditure for Rx - Gburg Residents Only (sum of Total RX)</t>
  </si>
  <si>
    <t>Discarded Guest IDs: (address may be in needs autocorrect, address record may not have been added, rx record may have no rx data)</t>
  </si>
  <si>
    <t>None</t>
  </si>
  <si>
    <t>Services included in totals:</t>
  </si>
  <si>
    <t>Unduplicated households in Gburg (# of unique Guest IDs, excluded if they came in previous quarters)</t>
  </si>
  <si>
    <t>Unduplicated individuals in Gburg (# in all households of unique Guest IDs, excluded if they came in previous quarters)</t>
  </si>
  <si>
    <t>Duplicated households in Gburg (# of Guest IDs, incl.multiple visits and services)</t>
  </si>
  <si>
    <t>Duplicated individuals in Gburg (# in all households, incl. multiple visits &amp; services)</t>
  </si>
  <si>
    <t>version 3.11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</si>
</sst>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7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  <xf numFmtId="0" fontId="9" fillId="0" borderId="0" applyNumberFormat="0" applyFill="0" applyBorder="0" applyAlignment="0" applyProtection="0"/>
  </cellStyleXfs>
  <cellXfs count="2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6" fillId="0" borderId="6" xfId="4" applyFont="1"/>
    <xf numFmtId="0" fontId="8" fillId="0" borderId="4" xfId="2" applyFont="1"/>
    <xf numFmtId="0" fontId="9" fillId="0" borderId="0" xfId="6"/>
    <xf numFmtId="49" fontId="9" fillId="0" borderId="0" xfId="0" applyNumberFormat="1" applyFont="1"/>
    <xf numFmtId="164" fontId="8" fillId="0" borderId="0" xfId="0" applyNumberFormat="1" applyFont="1"/>
    <xf numFmtId="164" fontId="1" fillId="0" borderId="5" xfId="3" applyFont="1"/>
  </cellXfs>
  <cellStyles count="7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  <cellStyle name="Warning Text" xfId="6" builtinId="1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177800</xdr:rowOff>
        </xdr:from>
        <xdr:to>
          <xdr:col>4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177800</xdr:colOff>
          <xdr:row>3</xdr:row>
          <xdr:rowOff>158750</xdr:rowOff>
        </xdr:from>
        <xdr:to>
          <xdr:col>5</xdr:col>
          <xdr:colOff>711200</xdr:colOff>
          <xdr:row>5</xdr:row>
          <xdr:rowOff>184150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December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0</xdr:row>
          <xdr:rowOff>25400</xdr:rowOff>
        </xdr:from>
        <xdr:to>
          <xdr:col>2</xdr:col>
          <xdr:colOff>412750</xdr:colOff>
          <xdr:row>4</xdr:row>
          <xdr:rowOff>6350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Additional Rx Records and 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0</xdr:row>
          <xdr:rowOff>76200</xdr:rowOff>
        </xdr:from>
        <xdr:to>
          <xdr:col>18</xdr:col>
          <xdr:colOff>6350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topLeftCell="CD1" workbookViewId="0">
      <selection activeCell="CU9" sqref="CU9"/>
    </sheetView>
  </sheetViews>
  <sheetFormatPr defaultRowHeight="14.5" x14ac:dyDescent="0.35"/>
  <cols>
    <col min="1" max="1" width="21.81640625" style="5" customWidth="1"/>
    <col min="4" max="4" width="10.453125" bestFit="1" customWidth="1"/>
    <col min="6" max="6" width="11.54296875" customWidth="1"/>
    <col min="9" max="9" width="10.54296875" bestFit="1" customWidth="1"/>
    <col min="10" max="11" width="10.453125" bestFit="1" customWidth="1"/>
    <col min="12" max="12" width="10.54296875" bestFit="1" customWidth="1"/>
    <col min="13" max="13" width="10.453125" bestFit="1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  <col min="19" max="19" width="10.453125" bestFit="1" customWidth="1"/>
    <col min="21" max="21" width="10.453125" bestFit="1" customWidth="1"/>
    <col min="23" max="26" width="10.453125" bestFit="1" customWidth="1"/>
    <col min="29" max="29" width="10.453125" bestFit="1" customWidth="1"/>
    <col min="33" max="33" width="10.453125" bestFit="1" customWidth="1"/>
    <col min="37" max="37" width="10.453125" bestFit="1" customWidth="1"/>
    <col min="42" max="44" width="10.453125" bestFit="1" customWidth="1"/>
    <col min="46" max="47" width="10.453125" bestFit="1" customWidth="1"/>
    <col min="49" max="53" width="10.453125" bestFit="1" customWidth="1"/>
    <col min="59" max="61" width="10.453125" bestFit="1" customWidth="1"/>
    <col min="65" max="69" width="10.453125" bestFit="1" customWidth="1"/>
    <col min="71" max="71" width="10.453125" bestFit="1" customWidth="1"/>
    <col min="75" max="76" width="10.453125" bestFit="1" customWidth="1"/>
    <col min="79" max="79" width="10.453125" bestFit="1" customWidth="1"/>
    <col min="81" max="81" width="10.453125" bestFit="1" customWidth="1"/>
    <col min="85" max="88" width="10.453125" bestFit="1" customWidth="1"/>
    <col min="94" max="95" width="10.453125" bestFit="1" customWidth="1"/>
  </cols>
  <sheetData>
    <row r="1" spans="1:97" x14ac:dyDescent="0.35">
      <c r="A1" s="5" t="s">
        <v>153</v>
      </c>
      <c r="B1" t="s">
        <v>102</v>
      </c>
      <c r="D1" s="3"/>
      <c r="E1" t="s">
        <v>103</v>
      </c>
      <c r="G1" s="11" t="s">
        <v>112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116</v>
      </c>
      <c r="R1" s="7" t="s">
        <v>105</v>
      </c>
      <c r="W1" s="7" t="s">
        <v>104</v>
      </c>
      <c r="AB1" s="8"/>
      <c r="AD1" s="1"/>
    </row>
    <row r="2" spans="1:97" x14ac:dyDescent="0.35">
      <c r="G2" s="8" t="s">
        <v>113</v>
      </c>
      <c r="L2">
        <f>SUM(L3:L4)</f>
        <v>0</v>
      </c>
      <c r="M2">
        <f>SUM(M3:M4)</f>
        <v>0</v>
      </c>
      <c r="N2">
        <f>SUM(N3:N4)</f>
        <v>0</v>
      </c>
      <c r="O2">
        <f>SUM(O3:O4)</f>
        <v>0</v>
      </c>
      <c r="P2">
        <f>SUM(P3:P4)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</row>
    <row r="3" spans="1:97" x14ac:dyDescent="0.35">
      <c r="G3" s="8" t="s">
        <v>114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149</v>
      </c>
      <c r="S3">
        <v>0</v>
      </c>
      <c r="T3">
        <v>0</v>
      </c>
      <c r="U3">
        <v>0</v>
      </c>
      <c r="V3">
        <v>0</v>
      </c>
      <c r="W3" s="8" t="s">
        <v>149</v>
      </c>
      <c r="X3">
        <v>0</v>
      </c>
      <c r="Y3">
        <v>0</v>
      </c>
      <c r="Z3">
        <v>0</v>
      </c>
      <c r="AA3">
        <v>0</v>
      </c>
      <c r="AB3" s="8"/>
    </row>
    <row r="4" spans="1:97" x14ac:dyDescent="0.35">
      <c r="G4" s="8" t="s">
        <v>115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150</v>
      </c>
      <c r="S4">
        <v>0</v>
      </c>
      <c r="T4">
        <v>0</v>
      </c>
      <c r="U4">
        <v>0</v>
      </c>
      <c r="V4">
        <v>0</v>
      </c>
      <c r="W4" s="8" t="s">
        <v>150</v>
      </c>
      <c r="X4">
        <v>0</v>
      </c>
      <c r="Y4">
        <v>0</v>
      </c>
      <c r="Z4">
        <v>0</v>
      </c>
      <c r="AA4">
        <v>0</v>
      </c>
      <c r="AB4" s="8"/>
    </row>
    <row r="5" spans="1:97" x14ac:dyDescent="0.35">
      <c r="G5" s="8" t="s">
        <v>120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151</v>
      </c>
      <c r="S5">
        <v>0</v>
      </c>
      <c r="T5">
        <v>0</v>
      </c>
      <c r="U5">
        <v>0</v>
      </c>
      <c r="V5">
        <v>0</v>
      </c>
      <c r="W5" s="8" t="s">
        <v>151</v>
      </c>
      <c r="X5">
        <v>0</v>
      </c>
      <c r="Y5">
        <v>0</v>
      </c>
      <c r="Z5">
        <v>0</v>
      </c>
      <c r="AA5">
        <v>0</v>
      </c>
      <c r="AB5" s="8"/>
    </row>
    <row r="6" spans="1:97" ht="15" thickBot="1" x14ac:dyDescent="0.4">
      <c r="G6" s="15" t="str">
        <f>"Services included in total - " &amp; R1</f>
        <v>Services included in total - Non-delivery</v>
      </c>
      <c r="R6" s="8" t="s">
        <v>152</v>
      </c>
      <c r="S6">
        <v>0</v>
      </c>
      <c r="T6">
        <v>0</v>
      </c>
      <c r="U6">
        <v>0</v>
      </c>
      <c r="V6">
        <v>0</v>
      </c>
      <c r="W6" s="8" t="s">
        <v>152</v>
      </c>
      <c r="X6">
        <v>0</v>
      </c>
      <c r="Y6">
        <v>0</v>
      </c>
      <c r="Z6">
        <v>0</v>
      </c>
      <c r="AA6">
        <v>0</v>
      </c>
      <c r="AB6" s="8"/>
    </row>
    <row r="7" spans="1:97" ht="14.5" customHeight="1" thickTop="1" thickBot="1" x14ac:dyDescent="0.4">
      <c r="B7" s="4"/>
      <c r="G7" s="15" t="str">
        <f>"Services included in total - " &amp; W1</f>
        <v>Services included in total - Delivery</v>
      </c>
      <c r="R7" s="14" t="s">
        <v>143</v>
      </c>
      <c r="S7" s="12">
        <v>0</v>
      </c>
      <c r="T7" s="12">
        <v>0</v>
      </c>
      <c r="U7" s="12">
        <v>0</v>
      </c>
      <c r="V7" s="12">
        <v>0</v>
      </c>
      <c r="W7" s="8"/>
      <c r="AB7" s="8"/>
    </row>
    <row r="8" spans="1:97" s="12" customFormat="1" ht="15" thickTop="1" x14ac:dyDescent="0.35">
      <c r="A8" s="19" t="s">
        <v>41</v>
      </c>
      <c r="B8" s="12" t="s">
        <v>35</v>
      </c>
      <c r="C8" s="12" t="s">
        <v>36</v>
      </c>
      <c r="D8" s="12" t="s">
        <v>38</v>
      </c>
      <c r="E8" s="12" t="s">
        <v>37</v>
      </c>
      <c r="F8" s="12" t="s">
        <v>39</v>
      </c>
      <c r="G8" s="12" t="s">
        <v>40</v>
      </c>
      <c r="H8" s="12" t="s">
        <v>42</v>
      </c>
      <c r="I8" s="12">
        <v>20861</v>
      </c>
      <c r="J8" s="12" t="s">
        <v>55</v>
      </c>
      <c r="K8" s="12" t="s">
        <v>56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57</v>
      </c>
      <c r="Q8" s="12">
        <v>20816</v>
      </c>
      <c r="R8" s="12">
        <v>20817</v>
      </c>
      <c r="S8" s="12">
        <v>20824</v>
      </c>
      <c r="T8" s="12" t="s">
        <v>58</v>
      </c>
      <c r="U8" s="12">
        <v>20827</v>
      </c>
      <c r="V8" s="12" t="s">
        <v>59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60</v>
      </c>
      <c r="AB8" s="12" t="s">
        <v>61</v>
      </c>
      <c r="AC8" s="12">
        <v>20871</v>
      </c>
      <c r="AD8" s="12" t="s">
        <v>62</v>
      </c>
      <c r="AE8" s="12" t="s">
        <v>63</v>
      </c>
      <c r="AF8" s="12" t="s">
        <v>64</v>
      </c>
      <c r="AG8" s="12">
        <v>20872</v>
      </c>
      <c r="AH8" s="12" t="s">
        <v>65</v>
      </c>
      <c r="AI8" s="12" t="s">
        <v>66</v>
      </c>
      <c r="AJ8" s="12" t="s">
        <v>67</v>
      </c>
      <c r="AK8" s="12">
        <v>20842</v>
      </c>
      <c r="AL8" s="12" t="s">
        <v>68</v>
      </c>
      <c r="AM8" s="12" t="s">
        <v>69</v>
      </c>
      <c r="AN8" s="12" t="s">
        <v>70</v>
      </c>
      <c r="AO8" s="12" t="s">
        <v>71</v>
      </c>
      <c r="AP8" s="12">
        <v>20883</v>
      </c>
      <c r="AQ8" s="12">
        <v>20884</v>
      </c>
      <c r="AR8" s="12">
        <v>20885</v>
      </c>
      <c r="AS8" s="12" t="s">
        <v>72</v>
      </c>
      <c r="AT8" s="12">
        <v>20898</v>
      </c>
      <c r="AU8" s="12">
        <v>20896</v>
      </c>
      <c r="AV8" s="12" t="s">
        <v>73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74</v>
      </c>
      <c r="BC8" s="12" t="s">
        <v>75</v>
      </c>
      <c r="BD8" s="12" t="s">
        <v>76</v>
      </c>
      <c r="BE8" s="12" t="s">
        <v>77</v>
      </c>
      <c r="BF8" s="12" t="s">
        <v>78</v>
      </c>
      <c r="BG8" s="12">
        <v>20830</v>
      </c>
      <c r="BH8" s="12">
        <v>20832</v>
      </c>
      <c r="BI8" s="12">
        <v>20837</v>
      </c>
      <c r="BJ8" s="12" t="s">
        <v>79</v>
      </c>
      <c r="BK8" s="12" t="s">
        <v>80</v>
      </c>
      <c r="BL8" s="12" t="s">
        <v>81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82</v>
      </c>
      <c r="BS8" s="12">
        <v>20853</v>
      </c>
      <c r="BT8" s="12" t="s">
        <v>83</v>
      </c>
      <c r="BU8" s="12" t="s">
        <v>84</v>
      </c>
      <c r="BV8" s="12" t="s">
        <v>85</v>
      </c>
      <c r="BW8" s="12">
        <v>20860</v>
      </c>
      <c r="BX8" s="12">
        <v>20868</v>
      </c>
      <c r="BY8" s="12" t="s">
        <v>86</v>
      </c>
      <c r="BZ8" s="12" t="s">
        <v>87</v>
      </c>
      <c r="CA8" s="12">
        <v>20901</v>
      </c>
      <c r="CB8" s="12" t="s">
        <v>88</v>
      </c>
      <c r="CC8" s="12">
        <v>20903</v>
      </c>
      <c r="CD8" s="12" t="s">
        <v>89</v>
      </c>
      <c r="CE8" s="12" t="s">
        <v>90</v>
      </c>
      <c r="CF8" s="12" t="s">
        <v>91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92</v>
      </c>
      <c r="CL8" s="12" t="s">
        <v>93</v>
      </c>
      <c r="CM8" s="12" t="s">
        <v>94</v>
      </c>
      <c r="CN8" s="12" t="s">
        <v>95</v>
      </c>
      <c r="CO8" s="12" t="s">
        <v>96</v>
      </c>
      <c r="CP8" s="12">
        <v>20918</v>
      </c>
      <c r="CQ8" s="12">
        <v>20880</v>
      </c>
      <c r="CR8" s="12" t="s">
        <v>97</v>
      </c>
      <c r="CS8" s="12" t="s">
        <v>98</v>
      </c>
    </row>
    <row r="9" spans="1:97" x14ac:dyDescent="0.35">
      <c r="A9" s="5" t="s">
        <v>43</v>
      </c>
      <c r="B9">
        <v>1</v>
      </c>
      <c r="C9">
        <v>2</v>
      </c>
      <c r="D9">
        <v>0</v>
      </c>
      <c r="E9">
        <v>0</v>
      </c>
      <c r="F9">
        <v>0</v>
      </c>
      <c r="G9">
        <v>0</v>
      </c>
      <c r="H9">
        <v>0</v>
      </c>
      <c r="I9">
        <v>3</v>
      </c>
      <c r="J9">
        <v>4</v>
      </c>
      <c r="K9">
        <v>5</v>
      </c>
      <c r="L9">
        <v>6</v>
      </c>
      <c r="M9">
        <v>7</v>
      </c>
      <c r="N9">
        <v>8</v>
      </c>
      <c r="O9">
        <v>9</v>
      </c>
      <c r="P9">
        <v>10</v>
      </c>
      <c r="Q9">
        <v>11</v>
      </c>
      <c r="R9">
        <v>12</v>
      </c>
      <c r="S9">
        <v>13</v>
      </c>
      <c r="T9">
        <v>14</v>
      </c>
      <c r="U9">
        <v>15</v>
      </c>
      <c r="V9">
        <v>16</v>
      </c>
      <c r="W9">
        <v>17</v>
      </c>
      <c r="X9">
        <v>18</v>
      </c>
      <c r="Y9">
        <v>19</v>
      </c>
      <c r="Z9">
        <v>20</v>
      </c>
      <c r="AA9">
        <v>21</v>
      </c>
      <c r="AB9">
        <v>22</v>
      </c>
      <c r="AC9">
        <v>23</v>
      </c>
      <c r="AD9">
        <v>24</v>
      </c>
      <c r="AE9">
        <v>25</v>
      </c>
      <c r="AF9">
        <v>26</v>
      </c>
      <c r="AG9">
        <v>27</v>
      </c>
      <c r="AH9">
        <v>28</v>
      </c>
      <c r="AI9">
        <v>29</v>
      </c>
      <c r="AJ9">
        <v>30</v>
      </c>
      <c r="AK9">
        <v>31</v>
      </c>
      <c r="AL9">
        <v>32</v>
      </c>
      <c r="AM9">
        <v>33</v>
      </c>
      <c r="AN9">
        <v>34</v>
      </c>
      <c r="AO9">
        <v>35</v>
      </c>
      <c r="AP9">
        <v>36</v>
      </c>
      <c r="AQ9">
        <v>37</v>
      </c>
      <c r="AR9">
        <v>38</v>
      </c>
      <c r="AS9">
        <v>39</v>
      </c>
      <c r="AT9">
        <v>40</v>
      </c>
      <c r="AU9">
        <v>41</v>
      </c>
      <c r="AV9">
        <v>42</v>
      </c>
      <c r="AW9">
        <v>43</v>
      </c>
      <c r="AX9">
        <v>44</v>
      </c>
      <c r="AY9">
        <v>45</v>
      </c>
      <c r="AZ9">
        <v>46</v>
      </c>
      <c r="BA9">
        <v>47</v>
      </c>
      <c r="BB9">
        <v>48</v>
      </c>
      <c r="BC9">
        <v>49</v>
      </c>
      <c r="BD9">
        <v>50</v>
      </c>
      <c r="BE9">
        <v>51</v>
      </c>
      <c r="BF9">
        <v>52</v>
      </c>
      <c r="BG9">
        <v>53</v>
      </c>
      <c r="BH9">
        <v>54</v>
      </c>
      <c r="BI9">
        <v>55</v>
      </c>
      <c r="BJ9">
        <v>56</v>
      </c>
      <c r="BK9">
        <v>57</v>
      </c>
      <c r="BL9">
        <v>58</v>
      </c>
      <c r="BM9">
        <v>59</v>
      </c>
      <c r="BN9">
        <v>60</v>
      </c>
      <c r="BO9">
        <v>61</v>
      </c>
      <c r="BP9">
        <v>62</v>
      </c>
      <c r="BQ9">
        <v>63</v>
      </c>
      <c r="BR9">
        <v>64</v>
      </c>
      <c r="BS9">
        <v>65</v>
      </c>
      <c r="BT9">
        <v>66</v>
      </c>
      <c r="BU9">
        <v>67</v>
      </c>
      <c r="BV9">
        <v>68</v>
      </c>
      <c r="BW9">
        <v>69</v>
      </c>
      <c r="BX9">
        <v>70</v>
      </c>
      <c r="BY9">
        <v>71</v>
      </c>
      <c r="BZ9">
        <v>72</v>
      </c>
      <c r="CA9">
        <v>73</v>
      </c>
      <c r="CB9">
        <v>74</v>
      </c>
      <c r="CC9">
        <v>75</v>
      </c>
      <c r="CD9">
        <v>76</v>
      </c>
      <c r="CE9">
        <v>77</v>
      </c>
      <c r="CF9">
        <v>78</v>
      </c>
      <c r="CG9">
        <v>79</v>
      </c>
      <c r="CH9">
        <v>80</v>
      </c>
      <c r="CI9">
        <v>81</v>
      </c>
      <c r="CJ9">
        <v>82</v>
      </c>
      <c r="CK9">
        <v>83</v>
      </c>
      <c r="CL9">
        <v>84</v>
      </c>
      <c r="CM9">
        <v>85</v>
      </c>
      <c r="CN9">
        <v>86</v>
      </c>
      <c r="CO9">
        <v>87</v>
      </c>
      <c r="CP9">
        <v>88</v>
      </c>
      <c r="CQ9">
        <v>89</v>
      </c>
      <c r="CR9">
        <v>90</v>
      </c>
      <c r="CS9">
        <v>91</v>
      </c>
    </row>
    <row r="10" spans="1:97" x14ac:dyDescent="0.35">
      <c r="A10" s="5" t="s">
        <v>44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5" t="s">
        <v>45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5" t="s">
        <v>46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5" t="s">
        <v>47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5" t="s">
        <v>48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5" t="s">
        <v>49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5" t="s">
        <v>50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5" t="s">
        <v>51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5" t="s">
        <v>52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5" t="s">
        <v>53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5" t="s">
        <v>54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35">
      <c r="A21" s="18" t="s">
        <v>148</v>
      </c>
    </row>
    <row r="22" spans="1:97" ht="26.5" x14ac:dyDescent="0.3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99</v>
      </c>
      <c r="M22" s="2" t="s">
        <v>100</v>
      </c>
      <c r="N22" s="2" t="s">
        <v>101</v>
      </c>
      <c r="O22" s="2" t="s">
        <v>14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177800</xdr:rowOff>
                  </from>
                  <to>
                    <xdr:col>4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177800</xdr:colOff>
                    <xdr:row>3</xdr:row>
                    <xdr:rowOff>158750</xdr:rowOff>
                  </from>
                  <to>
                    <xdr:col>5</xdr:col>
                    <xdr:colOff>711200</xdr:colOff>
                    <xdr:row>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  <col min="10" max="10" width="15.1796875" customWidth="1"/>
    <col min="11" max="11" width="11.453125" customWidth="1"/>
    <col min="12" max="12" width="11.7265625" customWidth="1"/>
    <col min="13" max="13" width="6.54296875" customWidth="1"/>
    <col min="14" max="14" width="6.26953125" customWidth="1"/>
    <col min="15" max="15" width="6.7265625" customWidth="1"/>
    <col min="16" max="16" width="7.26953125" customWidth="1"/>
  </cols>
  <sheetData>
    <row r="1" spans="1:16" x14ac:dyDescent="0.35">
      <c r="A1" s="1" t="s">
        <v>110</v>
      </c>
      <c r="B1" s="1"/>
    </row>
    <row r="2" spans="1:16" ht="15.5" x14ac:dyDescent="0.35">
      <c r="A2" s="13" t="s">
        <v>106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107</v>
      </c>
      <c r="K2" s="13" t="s">
        <v>108</v>
      </c>
      <c r="L2" s="13" t="s">
        <v>109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99</v>
      </c>
      <c r="P1" s="1" t="s">
        <v>100</v>
      </c>
      <c r="Q1" s="1" t="s">
        <v>101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</cols>
  <sheetData>
    <row r="1" spans="1:13" x14ac:dyDescent="0.35">
      <c r="A1" s="1" t="s">
        <v>111</v>
      </c>
      <c r="B1" s="1"/>
    </row>
    <row r="2" spans="1:13" ht="15.5" x14ac:dyDescent="0.35">
      <c r="A2" s="13" t="s">
        <v>106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sortState xmlns:xlrd2="http://schemas.microsoft.com/office/spreadsheetml/2017/richdata2" ref="A3:M7">
    <sortCondition ref="C3:C9"/>
    <sortCondition ref="B3:B9"/>
    <sortCondition ref="D3:D9"/>
    <sortCondition ref="F3:F9"/>
  </sortState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/>
  </sheetViews>
  <sheetFormatPr defaultRowHeight="14.5" x14ac:dyDescent="0.35"/>
  <cols>
    <col min="1" max="1" width="10.453125" style="5" bestFit="1" customWidth="1"/>
    <col min="8" max="9" width="11.54296875" customWidth="1"/>
    <col min="10" max="10" width="11.36328125" customWidth="1"/>
  </cols>
  <sheetData>
    <row r="1" spans="1:21" x14ac:dyDescent="0.35">
      <c r="G1" s="11" t="s">
        <v>117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119</v>
      </c>
      <c r="P1" s="8"/>
    </row>
    <row r="2" spans="1:21" x14ac:dyDescent="0.35">
      <c r="G2" s="8" t="s">
        <v>118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35">
      <c r="G3" s="8" t="s">
        <v>121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35">
      <c r="G4" s="8" t="s">
        <v>122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35">
      <c r="G5" s="8" t="s">
        <v>144</v>
      </c>
      <c r="K5">
        <v>0</v>
      </c>
      <c r="L5">
        <v>0</v>
      </c>
      <c r="M5">
        <v>0</v>
      </c>
      <c r="N5">
        <v>0</v>
      </c>
      <c r="O5">
        <f t="shared" ref="O5:O6" si="0">SUM(K5:N5)</f>
        <v>0</v>
      </c>
      <c r="P5" s="8"/>
    </row>
    <row r="6" spans="1:21" x14ac:dyDescent="0.35">
      <c r="G6" s="8" t="s">
        <v>145</v>
      </c>
      <c r="K6">
        <v>0</v>
      </c>
      <c r="L6">
        <v>0</v>
      </c>
      <c r="M6">
        <v>0</v>
      </c>
      <c r="N6">
        <v>0</v>
      </c>
      <c r="O6">
        <f t="shared" si="0"/>
        <v>0</v>
      </c>
      <c r="P6" s="8"/>
    </row>
    <row r="7" spans="1:21" x14ac:dyDescent="0.35">
      <c r="G7" s="15" t="s">
        <v>142</v>
      </c>
      <c r="I7" s="5" t="s">
        <v>147</v>
      </c>
      <c r="P7" s="8"/>
    </row>
    <row r="8" spans="1:21" ht="15" thickBot="1" x14ac:dyDescent="0.4">
      <c r="G8" s="15" t="s">
        <v>146</v>
      </c>
      <c r="I8" s="16" t="s">
        <v>147</v>
      </c>
      <c r="K8" s="17"/>
      <c r="P8" s="8"/>
    </row>
    <row r="9" spans="1:21" ht="15" thickTop="1" x14ac:dyDescent="0.35">
      <c r="G9" s="10"/>
      <c r="H9" s="10"/>
      <c r="I9" s="10"/>
      <c r="J9" s="10"/>
      <c r="K9" s="10"/>
      <c r="L9" s="10"/>
      <c r="M9" s="10"/>
      <c r="N9" s="10"/>
      <c r="O9" s="10"/>
    </row>
    <row r="10" spans="1:21" ht="91.5" x14ac:dyDescent="0.35">
      <c r="A10" s="6" t="s">
        <v>4</v>
      </c>
      <c r="B10" s="2" t="s">
        <v>6</v>
      </c>
      <c r="C10" s="2" t="s">
        <v>123</v>
      </c>
      <c r="D10" s="2" t="s">
        <v>124</v>
      </c>
      <c r="E10" s="2" t="s">
        <v>125</v>
      </c>
      <c r="F10" s="2" t="s">
        <v>126</v>
      </c>
      <c r="G10" s="2" t="s">
        <v>127</v>
      </c>
      <c r="H10" s="2" t="s">
        <v>128</v>
      </c>
      <c r="I10" s="2" t="s">
        <v>129</v>
      </c>
      <c r="J10" s="2" t="s">
        <v>130</v>
      </c>
      <c r="K10" s="2" t="s">
        <v>131</v>
      </c>
      <c r="L10" s="2" t="s">
        <v>132</v>
      </c>
      <c r="M10" s="2" t="s">
        <v>133</v>
      </c>
      <c r="N10" s="2" t="s">
        <v>134</v>
      </c>
      <c r="O10" s="2" t="s">
        <v>135</v>
      </c>
      <c r="P10" s="2" t="s">
        <v>136</v>
      </c>
      <c r="Q10" s="2" t="s">
        <v>137</v>
      </c>
      <c r="R10" s="2" t="s">
        <v>138</v>
      </c>
      <c r="S10" s="2" t="s">
        <v>139</v>
      </c>
      <c r="T10" s="2" t="s">
        <v>140</v>
      </c>
      <c r="U10" s="2" t="s">
        <v>141</v>
      </c>
    </row>
  </sheetData>
  <sheetProtection sheet="1" objects="1" scenarios="1" formatColumns="0" formatRows="0" sort="0" autoFilter="0"/>
  <protectedRanges>
    <protectedRange sqref="A11:XFD1048576" name="PasteRxRecords"/>
  </protectedRanges>
  <sortState xmlns:xlrd2="http://schemas.microsoft.com/office/spreadsheetml/2017/richdata2" ref="A11:U21">
    <sortCondition ref="A1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onfirmPasteRxRecordsCalculate">
                <anchor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412750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19050</xdr:colOff>
                    <xdr:row>0</xdr:row>
                    <xdr:rowOff>76200</xdr:rowOff>
                  </from>
                  <to>
                    <xdr:col>18</xdr:col>
                    <xdr:colOff>6350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99</v>
      </c>
      <c r="P1" s="1" t="s">
        <v>100</v>
      </c>
      <c r="Q1" s="1" t="s">
        <v>101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99</v>
      </c>
      <c r="P1" s="1" t="s">
        <v>100</v>
      </c>
      <c r="Q1" s="1" t="s">
        <v>101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99</v>
      </c>
      <c r="P1" s="1" t="s">
        <v>100</v>
      </c>
      <c r="Q1" s="1" t="s">
        <v>101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2024-11-21T02:37:13Z</dcterms:modified>
</cp:coreProperties>
</file>